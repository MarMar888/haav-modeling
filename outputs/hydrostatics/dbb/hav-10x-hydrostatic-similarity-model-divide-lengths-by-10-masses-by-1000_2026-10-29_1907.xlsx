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Users/patri/Programming/boat/hav/outputs/hydrostatics/dbb/"/>
    </mc:Choice>
  </mc:AlternateContent>
  <xr:revisionPtr revIDLastSave="0" documentId="13_ncr:1_{02E7F866-459F-5847-97C4-3208DF2E49FF}" xr6:coauthVersionLast="47" xr6:coauthVersionMax="47" xr10:uidLastSave="{00000000-0000-0000-0000-000000000000}"/>
  <bookViews>
    <workbookView xWindow="0" yWindow="660" windowWidth="30240" windowHeight="18980" activeTab="5" xr2:uid="{00000000-000D-0000-FFFF-FFFF00000000}"/>
  </bookViews>
  <sheets>
    <sheet name="Summary" sheetId="1" r:id="rId1"/>
    <sheet name="Project" sheetId="2" r:id="rId2"/>
    <sheet name="Output" sheetId="3" r:id="rId3"/>
    <sheet name="Blocks" sheetId="4" r:id="rId4"/>
    <sheet name="Weight" sheetId="5" r:id="rId5"/>
    <sheet name="Hydrostatics" sheetId="6" r:id="rId6"/>
    <sheet name="GZ" sheetId="7" r:id="rId7"/>
    <sheet name="Resistance" sheetId="8" r:id="rId8"/>
    <sheet name="Seakeeping" sheetId="9" r:id="rId9"/>
    <sheet name="Structure" sheetId="10" r:id="rId10"/>
    <sheet name="Offsets" sheetId="11" r:id="rId11"/>
    <sheet name="Requirement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8" l="1"/>
  <c r="B44" i="8"/>
  <c r="B43" i="8"/>
  <c r="B42" i="8"/>
  <c r="B41" i="8"/>
  <c r="B40" i="8"/>
  <c r="B39" i="8"/>
  <c r="B38" i="8"/>
  <c r="B37" i="8"/>
  <c r="B36" i="8"/>
  <c r="B35" i="8"/>
  <c r="B34" i="8"/>
  <c r="B33" i="8"/>
  <c r="B32" i="8"/>
  <c r="B31" i="8"/>
  <c r="B30" i="8"/>
  <c r="B27" i="8"/>
  <c r="B17" i="8"/>
  <c r="B10" i="8"/>
  <c r="F12" i="7"/>
  <c r="F11" i="7"/>
  <c r="F10" i="7"/>
  <c r="F9" i="7"/>
  <c r="F8" i="7"/>
  <c r="F7" i="7"/>
  <c r="F6" i="7"/>
  <c r="D7" i="5"/>
  <c r="AA8" i="4"/>
  <c r="Z8" i="4"/>
  <c r="Y8" i="4"/>
  <c r="W8" i="4"/>
  <c r="Q8" i="4"/>
  <c r="P8" i="4"/>
  <c r="J5" i="3"/>
  <c r="J12" i="3" s="1"/>
  <c r="G5" i="3"/>
  <c r="G12" i="3" s="1"/>
  <c r="F5" i="3"/>
  <c r="F12" i="3" s="1"/>
  <c r="B22" i="1"/>
  <c r="B23" i="1" s="1"/>
  <c r="D9" i="5" l="1"/>
  <c r="G7" i="5"/>
  <c r="F7" i="5"/>
  <c r="E7" i="5"/>
  <c r="E10" i="5" s="1"/>
</calcChain>
</file>

<file path=xl/sharedStrings.xml><?xml version="1.0" encoding="utf-8"?>
<sst xmlns="http://schemas.openxmlformats.org/spreadsheetml/2006/main" count="748" uniqueCount="411">
  <si>
    <t>HAV — 10x hydrostatic similarity model (divide lengths by 10; masses by 1000): summary</t>
  </si>
  <si>
    <t>Generated with the DBB Block Editor, NTNU, https://shiplab.github.io/dbb/ . Exported 2026-10-30. Values as in the app; the other sheets give the detail.</t>
  </si>
  <si>
    <t>Assessment</t>
  </si>
  <si>
    <t>Result</t>
  </si>
  <si>
    <t>Status</t>
  </si>
  <si>
    <t>Requirements</t>
  </si>
  <si>
    <t>none defined</t>
  </si>
  <si>
    <t>-</t>
  </si>
  <si>
    <t>Weight and hull</t>
  </si>
  <si>
    <t>floats at 1.61 m</t>
  </si>
  <si>
    <t>OK</t>
  </si>
  <si>
    <t>Floating</t>
  </si>
  <si>
    <t>trim 0.1 m, heel 0.1°</t>
  </si>
  <si>
    <t>Stability</t>
  </si>
  <si>
    <t>GM 0.46 m</t>
  </si>
  <si>
    <t>Issues and checks</t>
  </si>
  <si>
    <t/>
  </si>
  <si>
    <t>OK: Blocks below the main deck lie inside the hulls.</t>
  </si>
  <si>
    <t>OK: Trim and heel are within the guides.</t>
  </si>
  <si>
    <t>OK: GM 0.46 m meets the 0.15 m guide.</t>
  </si>
  <si>
    <t>Geometry</t>
  </si>
  <si>
    <t>Value</t>
  </si>
  <si>
    <t>Unit</t>
  </si>
  <si>
    <t>Blocks</t>
  </si>
  <si>
    <t>Overall length (X)</t>
  </si>
  <si>
    <t>m</t>
  </si>
  <si>
    <t>Overall beam (Y)</t>
  </si>
  <si>
    <t>Overall height (Z)</t>
  </si>
  <si>
    <t>Gross volume of blocks</t>
  </si>
  <si>
    <t>m3</t>
  </si>
  <si>
    <t>Gross area of blocks</t>
  </si>
  <si>
    <t>m2</t>
  </si>
  <si>
    <t>Enclosed volume for GT</t>
  </si>
  <si>
    <t>Gross tonnage, GT (estimate)</t>
  </si>
  <si>
    <t>GT</t>
  </si>
  <si>
    <t>Weight and centres</t>
  </si>
  <si>
    <t>t</t>
  </si>
  <si>
    <t>Structure and outfitting (0% of displacement)</t>
  </si>
  <si>
    <t>Total weight</t>
  </si>
  <si>
    <t>LCG x (from the aft end)</t>
  </si>
  <si>
    <t>TCG y (to port)</t>
  </si>
  <si>
    <t>VCG z (above the baseline)</t>
  </si>
  <si>
    <t>Hull and buoyancy</t>
  </si>
  <si>
    <t>Water density</t>
  </si>
  <si>
    <t>t/m3</t>
  </si>
  <si>
    <t>Draught set</t>
  </si>
  <si>
    <t>Displacement at that draught</t>
  </si>
  <si>
    <t>Margin: displacement minus weight</t>
  </si>
  <si>
    <t>LCB x</t>
  </si>
  <si>
    <t>KB</t>
  </si>
  <si>
    <t>LCG minus LCB</t>
  </si>
  <si>
    <t>Floating at the weight: level draught</t>
  </si>
  <si>
    <t>Draught aft</t>
  </si>
  <si>
    <t>Draught forward</t>
  </si>
  <si>
    <t>Trim (aft minus forward)</t>
  </si>
  <si>
    <t>Trim angle (positive by the stern)</t>
  </si>
  <si>
    <t>deg</t>
  </si>
  <si>
    <t>Heel (positive to port)</t>
  </si>
  <si>
    <t>Initial stability (small angles)</t>
  </si>
  <si>
    <t>BM transverse</t>
  </si>
  <si>
    <t>KM transverse</t>
  </si>
  <si>
    <t>KG</t>
  </si>
  <si>
    <t>Free surface correction</t>
  </si>
  <si>
    <t>GM transverse, corrected</t>
  </si>
  <si>
    <t>GM longitudinal</t>
  </si>
  <si>
    <t>Maximum GZ (at least)</t>
  </si>
  <si>
    <t>Angle of maximum GZ (at least)</t>
  </si>
  <si>
    <t>Deck edge in the water</t>
  </si>
  <si>
    <t>Initial metacentric height GM (corrected) (at least 0.15 m (IMO IS Code, general intact criterion))</t>
  </si>
  <si>
    <t>Met</t>
  </si>
  <si>
    <t>Static heel (at most 5° (design guide))</t>
  </si>
  <si>
    <t>Trim (at most 1% of the hull length (design guide))</t>
  </si>
  <si>
    <t>Main systems</t>
  </si>
  <si>
    <t>Area (m2)</t>
  </si>
  <si>
    <t>Volume (m3)</t>
  </si>
  <si>
    <t>Mass (t)</t>
  </si>
  <si>
    <t>LCG x (m)</t>
  </si>
  <si>
    <t>TCG y (m)</t>
  </si>
  <si>
    <t>VCG z (m)</t>
  </si>
  <si>
    <t>Measured/CAD component weights — 1000x mass</t>
  </si>
  <si>
    <t>HAV — 10x hydrostatic similarity model (divide lengths by 10; masses by 1000)</t>
  </si>
  <si>
    <t>Generated with the DBB Block Editor (Design Building Block approach), NTNU, https://shiplab.github.io/dbb/ . Exported 2026-10-30</t>
  </si>
  <si>
    <t>Groups</t>
  </si>
  <si>
    <t>Hulls</t>
  </si>
  <si>
    <t>Water density (t/m3)</t>
  </si>
  <si>
    <t>Structure and outfitting (% of displacement)</t>
  </si>
  <si>
    <t>Float (draught and trim follow the weight)</t>
  </si>
  <si>
    <t>on</t>
  </si>
  <si>
    <t>Notes</t>
  </si>
  <si>
    <t>x is measured forward from the aft end, y to port, z up from the baseline. Lengths in m, volumes in m3, masses in t.</t>
  </si>
  <si>
    <t>For educational use only. Hulls are illustrative parametric shapes, not real lines. Hydrostatics, trim, heel, initial stability (GM) and the righting lever (GZ) are indicative: buoyancy comes from the hulls only up to the main deck, the GZ curve ends where the deck edge enters the water, and there is no wind, wave, opening or damage case. Not for design approval, class or safety decisions.</t>
  </si>
  <si>
    <t>The Mass column in the Output and Blocks sheets is a formula (density x volume x fill) unless the mass was typed. Edit a density or fill there and the totals follow.</t>
  </si>
  <si>
    <t>HAV — 10x hydrostatic similarity model (divide lengths by 10; masses by 1000): block output</t>
  </si>
  <si>
    <t>Groups in the system breakdown. A group row adds up the blocks below it, so a parent group includes its subgroups. Colours as in the app.</t>
  </si>
  <si>
    <t>System / block</t>
  </si>
  <si>
    <t>Requirement</t>
  </si>
  <si>
    <t>Shape</t>
  </si>
  <si>
    <t>Density (t/m3)</t>
  </si>
  <si>
    <t>Fill (%)</t>
  </si>
  <si>
    <t xml:space="preserve">   Frame + hull assembly</t>
  </si>
  <si>
    <t>Box</t>
  </si>
  <si>
    <t xml:space="preserve">   Battery 1</t>
  </si>
  <si>
    <t xml:space="preserve">   Port motor assembly</t>
  </si>
  <si>
    <t xml:space="preserve">   Starboard motor assembly</t>
  </si>
  <si>
    <t xml:space="preserve">   Additional payload</t>
  </si>
  <si>
    <t>Gross total</t>
  </si>
  <si>
    <t>Overall dimensions</t>
  </si>
  <si>
    <t>Length (X, m)</t>
  </si>
  <si>
    <t>Beam (Y, m)</t>
  </si>
  <si>
    <t>Height (Z, m)</t>
  </si>
  <si>
    <t>Metric (unit)</t>
  </si>
  <si>
    <t>Sense</t>
  </si>
  <si>
    <t>Shall</t>
  </si>
  <si>
    <t>Should</t>
  </si>
  <si>
    <t>Achieved</t>
  </si>
  <si>
    <t>Inside hulls, estimate</t>
  </si>
  <si>
    <t>Status inside hulls</t>
  </si>
  <si>
    <t>Id</t>
  </si>
  <si>
    <t>Name</t>
  </si>
  <si>
    <t>Group path</t>
  </si>
  <si>
    <t>Group</t>
  </si>
  <si>
    <t>X (m)</t>
  </si>
  <si>
    <t>Y (m)</t>
  </si>
  <si>
    <t>Z (m)</t>
  </si>
  <si>
    <t>Length (m)</t>
  </si>
  <si>
    <t>Beam (m)</t>
  </si>
  <si>
    <t>Height (m)</t>
  </si>
  <si>
    <t>Rot X (deg)</t>
  </si>
  <si>
    <t>Rot Y (deg)</t>
  </si>
  <si>
    <t>Rot Z (deg)</t>
  </si>
  <si>
    <t>Volume below main deck (m3)</t>
  </si>
  <si>
    <t>Volume outside hulls, estimate (m3)</t>
  </si>
  <si>
    <t>Outside share (%)</t>
  </si>
  <si>
    <t>Mass typed</t>
  </si>
  <si>
    <t>CG x (m)</t>
  </si>
  <si>
    <t>CG y (m)</t>
  </si>
  <si>
    <t>CG z (m)</t>
  </si>
  <si>
    <t>Free surface</t>
  </si>
  <si>
    <t>Main deck</t>
  </si>
  <si>
    <t>Counts for GT</t>
  </si>
  <si>
    <t>backbone</t>
  </si>
  <si>
    <t>Frame + hull assembly</t>
  </si>
  <si>
    <t>yes</t>
  </si>
  <si>
    <t>no</t>
  </si>
  <si>
    <t>battery_1</t>
  </si>
  <si>
    <t>Battery 1</t>
  </si>
  <si>
    <t>motor_port</t>
  </si>
  <si>
    <t>Port motor assembly</t>
  </si>
  <si>
    <t>motor_starboard</t>
  </si>
  <si>
    <t>Starboard motor assembly</t>
  </si>
  <si>
    <t>payload_front</t>
  </si>
  <si>
    <t>Additional payload</t>
  </si>
  <si>
    <t>payload_back</t>
  </si>
  <si>
    <t>Total</t>
  </si>
  <si>
    <t>System</t>
  </si>
  <si>
    <t>Weight balance</t>
  </si>
  <si>
    <t>Displacement at the draught, with the centre of buoyancy (LCB, TCB, KB)</t>
  </si>
  <si>
    <t>Margin: displacement minus weight (t)</t>
  </si>
  <si>
    <t>LCG minus LCB (m, positive = weight forward of the buoyancy)</t>
  </si>
  <si>
    <t>Hull</t>
  </si>
  <si>
    <t>LWL (m)</t>
  </si>
  <si>
    <t>BWL (m)</t>
  </si>
  <si>
    <t>Draught (m)</t>
  </si>
  <si>
    <t>Displacement (t)</t>
  </si>
  <si>
    <t>Cb</t>
  </si>
  <si>
    <t>Cp</t>
  </si>
  <si>
    <t>Cm</t>
  </si>
  <si>
    <t>Cwp</t>
  </si>
  <si>
    <t>Waterplane area (m2)</t>
  </si>
  <si>
    <t>LCB x (m)</t>
  </si>
  <si>
    <t>KB (m)</t>
  </si>
  <si>
    <t>LCF x (m)</t>
  </si>
  <si>
    <t>TPC (t/cm)</t>
  </si>
  <si>
    <t>HAV hull — 10x geometry</t>
  </si>
  <si>
    <t>All hulls</t>
  </si>
  <si>
    <t>Transverse centre of buoyancy y (m, to port)</t>
  </si>
  <si>
    <t>Floating at the weight</t>
  </si>
  <si>
    <t>Total weight (t)</t>
  </si>
  <si>
    <t>Level draught that carries it (m)</t>
  </si>
  <si>
    <t>Chosen draught (m)</t>
  </si>
  <si>
    <t>Trim (m, aft draught minus forward draught)</t>
  </si>
  <si>
    <t>Trim angle (deg, positive by the stern)</t>
  </si>
  <si>
    <t>Draught aft (m)</t>
  </si>
  <si>
    <t>Draught forward (m)</t>
  </si>
  <si>
    <t>Heel (deg, positive to port)</t>
  </si>
  <si>
    <t>Draught at the port side, midships (m)</t>
  </si>
  <si>
    <t>Draught at the starboard side, midships (m)</t>
  </si>
  <si>
    <t>Initial stability (upright, level draught, small angles)</t>
  </si>
  <si>
    <t>Level draught (m)</t>
  </si>
  <si>
    <t>BM transverse (m)</t>
  </si>
  <si>
    <t>KM transverse (m)</t>
  </si>
  <si>
    <t>KG (m)</t>
  </si>
  <si>
    <t>GM without free surface (m)</t>
  </si>
  <si>
    <t>Free surface correction (m)</t>
  </si>
  <si>
    <t>GM transverse, corrected (m)</t>
  </si>
  <si>
    <t>Highest KG for GM = 0.15 m (m)</t>
  </si>
  <si>
    <t>BM longitudinal (m)</t>
  </si>
  <si>
    <t>KM longitudinal (m)</t>
  </si>
  <si>
    <t>GM longitudinal (m)</t>
  </si>
  <si>
    <t>Hulls (illustrative)</t>
  </si>
  <si>
    <t>Type</t>
  </si>
  <si>
    <t>Depth to main deck (m)</t>
  </si>
  <si>
    <t>Y offset (m)</t>
  </si>
  <si>
    <t>Volume to main deck (m3)</t>
  </si>
  <si>
    <t>Displaced volume (m3)</t>
  </si>
  <si>
    <t>Table of offsets</t>
  </si>
  <si>
    <t>Block volume below main deck (m3)</t>
  </si>
  <si>
    <t>Block volume outside hulls, estimate (m3)</t>
  </si>
  <si>
    <t>Righting lever GZ</t>
  </si>
  <si>
    <t>Heel to one side, trim free, G on the centre line. Hulls counted up to the main deck: the curve ends where the deck edge enters the water. For guidance only, no openings.</t>
  </si>
  <si>
    <t>GZ = KN - KG x sin(angle). KG includes the free surface correction.</t>
  </si>
  <si>
    <t>Heel angle (deg)</t>
  </si>
  <si>
    <t>Draught at midship (m)</t>
  </si>
  <si>
    <t>Trim (m)</t>
  </si>
  <si>
    <t>KN (m)</t>
  </si>
  <si>
    <t>KG with free surface (m)</t>
  </si>
  <si>
    <t>GZ (m)</t>
  </si>
  <si>
    <t>Range of positive stability</t>
  </si>
  <si>
    <t>beyond 25.9</t>
  </si>
  <si>
    <t>Criterion (guidance only)</t>
  </si>
  <si>
    <t>Needed</t>
  </si>
  <si>
    <t>Area under GZ, 0° to 30° (m·rad)</t>
  </si>
  <si>
    <t>Met (to deck edge at 25.9°)</t>
  </si>
  <si>
    <t>Area under GZ, 0° to 25.9° (m·rad)</t>
  </si>
  <si>
    <t>Not met</t>
  </si>
  <si>
    <t>Area under GZ, 30° to 40° (m·rad)</t>
  </si>
  <si>
    <t>Not met (deck edge at 25.9°)</t>
  </si>
  <si>
    <t>GZ at 30° or more (m)</t>
  </si>
  <si>
    <t>Angle of maximum GZ (°)</t>
  </si>
  <si>
    <t>Initial GM, corrected (m)</t>
  </si>
  <si>
    <t>Resistance (Holtrop)</t>
  </si>
  <si>
    <t>Towing resistance by the Holtrop method for displacement ships, at the draught of each hull, without bulb or appendages and with the same draught forward and aft. A first estimate for comparing designs; less accurate for extreme shapes. No propulsion. Sea water 1025 kg/m3.</t>
  </si>
  <si>
    <t>Draught</t>
  </si>
  <si>
    <t>LWL</t>
  </si>
  <si>
    <t>BWL</t>
  </si>
  <si>
    <t>Cb / Cm</t>
  </si>
  <si>
    <t>LCB, forward of the middle of the waterline</t>
  </si>
  <si>
    <t>% of LWL</t>
  </si>
  <si>
    <t>Afterbody form</t>
  </si>
  <si>
    <t>Normal sections</t>
  </si>
  <si>
    <t>Transom stern</t>
  </si>
  <si>
    <t>Bulbous bow (assumed for the resistance, not drawn)</t>
  </si>
  <si>
    <t>Service speed</t>
  </si>
  <si>
    <t>knots</t>
  </si>
  <si>
    <t>Froude number</t>
  </si>
  <si>
    <t>At the service speed</t>
  </si>
  <si>
    <t>kN</t>
  </si>
  <si>
    <t>Frictional</t>
  </si>
  <si>
    <t>Form</t>
  </si>
  <si>
    <t>Appendage</t>
  </si>
  <si>
    <t>Wave</t>
  </si>
  <si>
    <t>Bulbous</t>
  </si>
  <si>
    <t>Transom</t>
  </si>
  <si>
    <t>Correlation</t>
  </si>
  <si>
    <t>Speed (knots)</t>
  </si>
  <si>
    <t>Total resistance (kN)</t>
  </si>
  <si>
    <t>Seakeeping (Jensen, Mansour and Olsen)</t>
  </si>
  <si>
    <t>Closed-form estimate of the ship motions in regular waves, at the draught of each hull, with the ship as a box of waterline length and draught and breadth of waterline breadth times Cb. Response per wave frequency for the wave amplitude given. A first estimate for comparing designs. A sea state with short-term statistics follows the inputs of each hull. Sea water 1025 kg/m3.</t>
  </si>
  <si>
    <t>Length (LWL)</t>
  </si>
  <si>
    <t>Waterline breadth</t>
  </si>
  <si>
    <t>GM</t>
  </si>
  <si>
    <t>Roll natural period</t>
  </si>
  <si>
    <t>s</t>
  </si>
  <si>
    <t>Roll damping</t>
  </si>
  <si>
    <t>% of critical</t>
  </si>
  <si>
    <t>Prismatic length ratio</t>
  </si>
  <si>
    <t>Speed</t>
  </si>
  <si>
    <t>Wave heading (180 = head waves)</t>
  </si>
  <si>
    <t>degrees</t>
  </si>
  <si>
    <t>Wave amplitude</t>
  </si>
  <si>
    <t>Position from the CG (+ forward)</t>
  </si>
  <si>
    <t>% of half length</t>
  </si>
  <si>
    <t>Warning: for the bending moment the smallest Cb is 0.6; heave is too small for waves longer than the ship, below 1.97 rad/s (pink band); pitch is too large for wave lengths near the ship length above Froude number 0.2, 1.77 to 2.00 rad/s (pink band); roll is too large around the resonance, where the encounter period is within 20% of the roll period of 5.1 s (pink band); the paper adds 20% to 40% of the critical damping in its comparisons. The method is less accurate outside its limits.</t>
  </si>
  <si>
    <t>Sea state: HAV hull — 10x geometry</t>
  </si>
  <si>
    <t>Significant wave height Hs</t>
  </si>
  <si>
    <t>Spectrum</t>
  </si>
  <si>
    <t>JONSWAP</t>
  </si>
  <si>
    <t>Peak factor gamma</t>
  </si>
  <si>
    <t>Zero-crossing period Tz</t>
  </si>
  <si>
    <t>Peak period Tp</t>
  </si>
  <si>
    <t>Duration</t>
  </si>
  <si>
    <t>h</t>
  </si>
  <si>
    <t>Response (amplitude)</t>
  </si>
  <si>
    <t>RMS</t>
  </si>
  <si>
    <t>Significant</t>
  </si>
  <si>
    <t>Most probable maximum</t>
  </si>
  <si>
    <t>Response period (s)</t>
  </si>
  <si>
    <t>Cycles</t>
  </si>
  <si>
    <t>Heave</t>
  </si>
  <si>
    <t>Pitch angle</t>
  </si>
  <si>
    <t>°</t>
  </si>
  <si>
    <t>Vertical motion at the position</t>
  </si>
  <si>
    <t>Vertical acceleration at the position</t>
  </si>
  <si>
    <t>m/s²</t>
  </si>
  <si>
    <t>Roll angle</t>
  </si>
  <si>
    <t>Motion sickness dose value, MSDV</t>
  </si>
  <si>
    <t>m/s^1.5</t>
  </si>
  <si>
    <t>Vomiting incidence VI = MSDV/3</t>
  </si>
  <si>
    <t>%</t>
  </si>
  <si>
    <t>Warning: share of the variance in the pink bands of the Seakeeping charts, where the formulas are less good: heave 100%, vertical motion at the position 100%, vertical acceleration at the position 100%, roll angle 32%.</t>
  </si>
  <si>
    <t>Wave frequency (rad/s)</t>
  </si>
  <si>
    <t>Wave period (s)</t>
  </si>
  <si>
    <t>Vertical motion (m/m)</t>
  </si>
  <si>
    <t>Vertical acceleration (m/s2)</t>
  </si>
  <si>
    <t>Pitch (m/m)</t>
  </si>
  <si>
    <t>Heave (m/m)</t>
  </si>
  <si>
    <t>Bending moment (1e6 N.m)</t>
  </si>
  <si>
    <t>Roll (deg)</t>
  </si>
  <si>
    <t>Structure: first check to the DNV Rules for Ships Pt.3 Ch.2 (January 2015, ships under 100 m)</t>
  </si>
  <si>
    <t>Educational, not a class check. Single hull; no buckling, shear strength, fatigue, bulkheads or girders. Moment positive in sagging.</t>
  </si>
  <si>
    <t>Input</t>
  </si>
  <si>
    <t>Rule length L (96% of LWL)</t>
  </si>
  <si>
    <t>Breadth B</t>
  </si>
  <si>
    <t>Depth D</t>
  </si>
  <si>
    <t>Draught T</t>
  </si>
  <si>
    <t>Steel grade</t>
  </si>
  <si>
    <t>NV-NS</t>
  </si>
  <si>
    <t>Material factor f1</t>
  </si>
  <si>
    <t>Service area</t>
  </si>
  <si>
    <t>R0</t>
  </si>
  <si>
    <t>Corrosion addition</t>
  </si>
  <si>
    <t>mm</t>
  </si>
  <si>
    <t>Web spacing</t>
  </si>
  <si>
    <t>Longitudinal strength (Sec.4)</t>
  </si>
  <si>
    <t>Sagging</t>
  </si>
  <si>
    <t>Hogging</t>
  </si>
  <si>
    <t>Rule stillwater moment MSO</t>
  </si>
  <si>
    <t>MN.m</t>
  </si>
  <si>
    <t>Calculated stillwater moment, 0.4 L amidships</t>
  </si>
  <si>
    <t>Stillwater moment used MS</t>
  </si>
  <si>
    <t>Wave moment MWO</t>
  </si>
  <si>
    <t>Required modulus Z = (MS + MW)/175</t>
  </si>
  <si>
    <t>cm3</t>
  </si>
  <si>
    <t>Minimum modulus Z0</t>
  </si>
  <si>
    <t>Required modulus</t>
  </si>
  <si>
    <t>Section modulus at deck</t>
  </si>
  <si>
    <t>Section modulus at bottom</t>
  </si>
  <si>
    <t>Approximate deck area (C105), required / chosen</t>
  </si>
  <si>
    <t>cm2</t>
  </si>
  <si>
    <t>Midship section</t>
  </si>
  <si>
    <t>Plate (mm)</t>
  </si>
  <si>
    <t>Spacing (m)</t>
  </si>
  <si>
    <t>Profile</t>
  </si>
  <si>
    <t>Web h (mm)</t>
  </si>
  <si>
    <t>Web t (mm)</t>
  </si>
  <si>
    <t>Flange b (mm)</t>
  </si>
  <si>
    <t>Flange t (mm)</t>
  </si>
  <si>
    <t>Deck</t>
  </si>
  <si>
    <t>Flat bar</t>
  </si>
  <si>
    <t>Side</t>
  </si>
  <si>
    <t>Bottom</t>
  </si>
  <si>
    <t>Inner bottom</t>
  </si>
  <si>
    <t>Keel plate</t>
  </si>
  <si>
    <t>Neutral axis above the baseline (m)</t>
  </si>
  <si>
    <t>Moment of inertia (m4)</t>
  </si>
  <si>
    <t>Section area (cm2)</t>
  </si>
  <si>
    <t>Local scantlings</t>
  </si>
  <si>
    <t>Pressure (kN/m2)</t>
  </si>
  <si>
    <t>Stress (N/mm2)</t>
  </si>
  <si>
    <t>Required</t>
  </si>
  <si>
    <t>Chosen</t>
  </si>
  <si>
    <t>Check</t>
  </si>
  <si>
    <t>Note</t>
  </si>
  <si>
    <t>Bottom plating</t>
  </si>
  <si>
    <t>lateral 4.6, minimum 5.6</t>
  </si>
  <si>
    <t>breadth not less than 876 mm</t>
  </si>
  <si>
    <t>Side plating, lower</t>
  </si>
  <si>
    <t>Side plating, upper</t>
  </si>
  <si>
    <t>lateral 2.6, minimum 5.6</t>
  </si>
  <si>
    <t>Strength deck plating</t>
  </si>
  <si>
    <t>lateral 2.3, minimum 5.8</t>
  </si>
  <si>
    <t>Bottom longitudinals</t>
  </si>
  <si>
    <t>cm³</t>
  </si>
  <si>
    <t>NOT OK</t>
  </si>
  <si>
    <t>web and flange not less than 6.0 mm</t>
  </si>
  <si>
    <t>Side longitudinals, lower</t>
  </si>
  <si>
    <t>Side longitudinals, upper</t>
  </si>
  <si>
    <t>Deck longitudinals</t>
  </si>
  <si>
    <t>Estimated steel mass</t>
  </si>
  <si>
    <t>Section mass per metre</t>
  </si>
  <si>
    <t>t/m</t>
  </si>
  <si>
    <t>Allowance factor</t>
  </si>
  <si>
    <t>Used for the weights</t>
  </si>
  <si>
    <t>no (structure share)</t>
  </si>
  <si>
    <t>Distance from AP (m)</t>
  </si>
  <si>
    <t>Weight (t/m)</t>
  </si>
  <si>
    <t>Buoyancy (t/m)</t>
  </si>
  <si>
    <t>Load (t/m)</t>
  </si>
  <si>
    <t>Shear force (MN)</t>
  </si>
  <si>
    <t>Bending moment (MN.m)</t>
  </si>
  <si>
    <t>Table of offsets: HAV hull — 10x geometry</t>
  </si>
  <si>
    <t>Depth (m)</t>
  </si>
  <si>
    <t>Half-breadths in metres. x is measured from the aft end, z from the baseline. "-" is outside the hull.</t>
  </si>
  <si>
    <t>Station</t>
  </si>
  <si>
    <t>x (m)</t>
  </si>
  <si>
    <t>z = 0 m</t>
  </si>
  <si>
    <t>z = 0.3048 m</t>
  </si>
  <si>
    <t>z = 0.6096 m</t>
  </si>
  <si>
    <t>z = 0.9144 m</t>
  </si>
  <si>
    <t>z = 1.2192 m</t>
  </si>
  <si>
    <t>z = 1.524 m</t>
  </si>
  <si>
    <t>z = 1.8288 m</t>
  </si>
  <si>
    <t>z = 2.1336 m</t>
  </si>
  <si>
    <t>z = 2.4384 m</t>
  </si>
  <si>
    <t>z = 2.7432 m</t>
  </si>
  <si>
    <t>z = 3.048 m</t>
  </si>
  <si>
    <t>Metric</t>
  </si>
  <si>
    <t>Linked blocks</t>
  </si>
  <si>
    <t>Margin vs shall (%)</t>
  </si>
  <si>
    <t>Margin vs should (%)</t>
  </si>
  <si>
    <t>Block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</si>
</sst>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 x14ac:knownFonts="1">
    <font>
      <sz val="11"/>
      <name val="Calibri"/>
    </font>
    <font>
      <b/>
      <sz val="11"/>
      <name val="Calibri"/>
    </font>
    <font>
      <b/>
      <sz val="14"/>
      <name val="Calibri"/>
    </font>
    <font>
      <i/>
      <sz val="10"/>
      <color rgb="FF666666"/>
      <name val="Calibri"/>
    </font>
  </fonts>
  <fills count="14">
    <fill>
      <patternFill patternType="none"/>
    </fill>
    <fill>
      <patternFill patternType="gray125"/>
    </fill>
    <fill>
      <patternFill patternType="solid">
        <fgColor rgb="FFDCE6F1"/>
        <bgColor indexed="64"/>
      </patternFill>
    </fill>
    <fill>
      <patternFill patternType="solid">
        <fgColor rgb="FFEDEDED"/>
        <bgColor indexed="64"/>
      </patternFill>
    </fill>
    <fill>
      <patternFill patternType="solid">
        <fgColor rgb="FFC6EFCE"/>
        <bgColor indexed="64"/>
      </patternFill>
    </fill>
    <fill>
      <patternFill patternType="solid">
        <fgColor rgb="FFA6C3C9"/>
        <bgColor indexed="64"/>
      </patternFill>
    </fill>
    <fill>
      <patternFill patternType="solid">
        <fgColor rgb="FFDBE7E9"/>
        <bgColor indexed="64"/>
      </patternFill>
    </fill>
    <fill>
      <patternFill patternType="solid">
        <fgColor rgb="FF397986"/>
        <bgColor indexed="64"/>
      </patternFill>
    </fill>
    <fill>
      <patternFill patternType="solid">
        <fgColor rgb="FF92B5BC"/>
        <bgColor indexed="64"/>
      </patternFill>
    </fill>
    <fill>
      <patternFill patternType="solid">
        <fgColor rgb="FFE7EFF0"/>
        <bgColor indexed="64"/>
      </patternFill>
    </fill>
    <fill>
      <patternFill patternType="solid">
        <fgColor rgb="FFD7E4E7"/>
        <bgColor indexed="64"/>
      </patternFill>
    </fill>
    <fill>
      <patternFill patternType="solid">
        <fgColor rgb="FF74A1AA"/>
        <bgColor indexed="64"/>
      </patternFill>
    </fill>
    <fill>
      <patternFill patternType="solid">
        <fgColor rgb="FFB0C9CF"/>
        <bgColor indexed="64"/>
      </patternFill>
    </fill>
    <fill>
      <patternFill patternType="solid">
        <fgColor rgb="FFF8CBAD"/>
        <bgColor indexed="64"/>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applyAlignment="1">
      <alignment vertical="center" wrapText="1"/>
    </xf>
    <xf numFmtId="2" fontId="0" fillId="0" borderId="0" xfId="0" applyNumberFormat="1"/>
    <xf numFmtId="164" fontId="0" fillId="0" borderId="0" xfId="0" applyNumberFormat="1"/>
    <xf numFmtId="0" fontId="1" fillId="0" borderId="0" xfId="0" applyFont="1"/>
    <xf numFmtId="2" fontId="1" fillId="0" borderId="0" xfId="0" applyNumberFormat="1" applyFont="1"/>
    <xf numFmtId="0" fontId="2" fillId="0" borderId="0" xfId="0" applyFont="1"/>
    <xf numFmtId="0" fontId="3" fillId="0" borderId="0" xfId="0" applyFont="1"/>
    <xf numFmtId="165" fontId="0" fillId="0" borderId="0" xfId="0" applyNumberFormat="1"/>
    <xf numFmtId="164" fontId="1" fillId="0" borderId="0" xfId="0" applyNumberFormat="1" applyFont="1"/>
    <xf numFmtId="0" fontId="0" fillId="3" borderId="0" xfId="0" applyFill="1"/>
    <xf numFmtId="0" fontId="0" fillId="4" borderId="0" xfId="0" applyFill="1"/>
    <xf numFmtId="0" fontId="1" fillId="5" borderId="0" xfId="0" applyFont="1" applyFill="1"/>
    <xf numFmtId="0" fontId="0" fillId="6" borderId="0" xfId="0" applyFill="1"/>
    <xf numFmtId="2" fontId="0" fillId="6" borderId="0" xfId="0" applyNumberFormat="1" applyFill="1"/>
    <xf numFmtId="0" fontId="0" fillId="7" borderId="0" xfId="0" applyFill="1"/>
    <xf numFmtId="0" fontId="1" fillId="8" borderId="0" xfId="0" applyFont="1" applyFill="1"/>
    <xf numFmtId="0" fontId="0" fillId="8" borderId="0" xfId="0" applyFill="1"/>
    <xf numFmtId="2" fontId="1" fillId="8" borderId="0" xfId="0" applyNumberFormat="1" applyFont="1" applyFill="1"/>
    <xf numFmtId="165" fontId="0" fillId="8" borderId="0" xfId="0" applyNumberFormat="1" applyFill="1"/>
    <xf numFmtId="0" fontId="0" fillId="9" borderId="0" xfId="0" applyFill="1"/>
    <xf numFmtId="0" fontId="0" fillId="10" borderId="0" xfId="0" applyFill="1"/>
    <xf numFmtId="0" fontId="1" fillId="11" borderId="0" xfId="0" applyFont="1" applyFill="1"/>
    <xf numFmtId="0" fontId="0" fillId="12" borderId="0" xfId="0" applyFill="1"/>
    <xf numFmtId="165" fontId="0" fillId="12" borderId="0" xfId="0" applyNumberFormat="1" applyFill="1"/>
    <xf numFmtId="2" fontId="0" fillId="12" borderId="0" xfId="0" applyNumberFormat="1" applyFill="1"/>
    <xf numFmtId="0" fontId="0" fillId="1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
  <sheetViews>
    <sheetView topLeftCell="A28" zoomScale="116" workbookViewId="0">
      <selection activeCell="D53" sqref="D53"/>
    </sheetView>
  </sheetViews>
  <sheetFormatPr baseColWidth="10" defaultColWidth="8.83203125" defaultRowHeight="15" x14ac:dyDescent="0.2"/>
  <cols>
    <col min="1" max="1" width="52" customWidth="1"/>
    <col min="2" max="2" width="16" customWidth="1"/>
    <col min="3" max="4" width="14" customWidth="1"/>
    <col min="5" max="8" width="12" customWidth="1"/>
  </cols>
  <sheetData>
    <row r="1" spans="1:8" ht="19" x14ac:dyDescent="0.25">
      <c r="A1" s="6" t="s">
        <v>0</v>
      </c>
    </row>
    <row r="2" spans="1:8" x14ac:dyDescent="0.2">
      <c r="A2" s="7" t="s">
        <v>1</v>
      </c>
    </row>
    <row r="4" spans="1:8" ht="16" x14ac:dyDescent="0.2">
      <c r="A4" s="1" t="s">
        <v>2</v>
      </c>
      <c r="B4" s="1" t="s">
        <v>3</v>
      </c>
      <c r="C4" s="1" t="s">
        <v>4</v>
      </c>
    </row>
    <row r="5" spans="1:8" x14ac:dyDescent="0.2">
      <c r="A5" s="4" t="s">
        <v>5</v>
      </c>
      <c r="B5" t="s">
        <v>6</v>
      </c>
      <c r="C5" s="10" t="s">
        <v>7</v>
      </c>
    </row>
    <row r="6" spans="1:8" x14ac:dyDescent="0.2">
      <c r="A6" s="4" t="s">
        <v>8</v>
      </c>
      <c r="B6" t="s">
        <v>9</v>
      </c>
      <c r="C6" s="11" t="s">
        <v>10</v>
      </c>
    </row>
    <row r="7" spans="1:8" x14ac:dyDescent="0.2">
      <c r="A7" s="4" t="s">
        <v>11</v>
      </c>
      <c r="B7" t="s">
        <v>12</v>
      </c>
      <c r="C7" s="11" t="s">
        <v>10</v>
      </c>
    </row>
    <row r="8" spans="1:8" x14ac:dyDescent="0.2">
      <c r="A8" s="4" t="s">
        <v>13</v>
      </c>
      <c r="B8" t="s">
        <v>14</v>
      </c>
      <c r="C8" s="11" t="s">
        <v>10</v>
      </c>
    </row>
    <row r="10" spans="1:8" ht="16" x14ac:dyDescent="0.2">
      <c r="A10" s="1" t="s">
        <v>15</v>
      </c>
      <c r="B10" s="1" t="s">
        <v>16</v>
      </c>
      <c r="C10" s="1" t="s">
        <v>16</v>
      </c>
      <c r="D10" s="1" t="s">
        <v>16</v>
      </c>
      <c r="E10" s="1" t="s">
        <v>16</v>
      </c>
      <c r="F10" s="1" t="s">
        <v>16</v>
      </c>
      <c r="G10" s="1" t="s">
        <v>16</v>
      </c>
      <c r="H10" s="1" t="s">
        <v>16</v>
      </c>
    </row>
    <row r="11" spans="1:8" x14ac:dyDescent="0.2">
      <c r="A11" s="11" t="s">
        <v>17</v>
      </c>
      <c r="B11" s="11" t="s">
        <v>16</v>
      </c>
      <c r="C11" s="11" t="s">
        <v>16</v>
      </c>
      <c r="D11" s="11" t="s">
        <v>16</v>
      </c>
      <c r="E11" s="11" t="s">
        <v>16</v>
      </c>
      <c r="F11" s="11" t="s">
        <v>16</v>
      </c>
      <c r="G11" s="11" t="s">
        <v>16</v>
      </c>
      <c r="H11" s="11" t="s">
        <v>16</v>
      </c>
    </row>
    <row r="12" spans="1:8" x14ac:dyDescent="0.2">
      <c r="A12" s="11" t="s">
        <v>18</v>
      </c>
      <c r="B12" s="11" t="s">
        <v>16</v>
      </c>
      <c r="C12" s="11" t="s">
        <v>16</v>
      </c>
      <c r="D12" s="11" t="s">
        <v>16</v>
      </c>
      <c r="E12" s="11" t="s">
        <v>16</v>
      </c>
      <c r="F12" s="11" t="s">
        <v>16</v>
      </c>
      <c r="G12" s="11" t="s">
        <v>16</v>
      </c>
      <c r="H12" s="11" t="s">
        <v>16</v>
      </c>
    </row>
    <row r="13" spans="1:8" x14ac:dyDescent="0.2">
      <c r="A13" s="11" t="s">
        <v>19</v>
      </c>
      <c r="B13" s="11" t="s">
        <v>16</v>
      </c>
      <c r="C13" s="11" t="s">
        <v>16</v>
      </c>
      <c r="D13" s="11" t="s">
        <v>16</v>
      </c>
      <c r="E13" s="11" t="s">
        <v>16</v>
      </c>
      <c r="F13" s="11" t="s">
        <v>16</v>
      </c>
      <c r="G13" s="11" t="s">
        <v>16</v>
      </c>
      <c r="H13" s="11" t="s">
        <v>16</v>
      </c>
    </row>
    <row r="15" spans="1:8" ht="16" x14ac:dyDescent="0.2">
      <c r="A15" s="1" t="s">
        <v>20</v>
      </c>
      <c r="B15" s="1" t="s">
        <v>21</v>
      </c>
      <c r="C15" s="1" t="s">
        <v>22</v>
      </c>
    </row>
    <row r="16" spans="1:8" x14ac:dyDescent="0.2">
      <c r="A16" t="s">
        <v>23</v>
      </c>
      <c r="B16">
        <v>6</v>
      </c>
    </row>
    <row r="17" spans="1:3" x14ac:dyDescent="0.2">
      <c r="A17" t="s">
        <v>24</v>
      </c>
      <c r="B17" s="2">
        <v>7.1075999999999997</v>
      </c>
      <c r="C17" t="s">
        <v>25</v>
      </c>
    </row>
    <row r="18" spans="1:3" x14ac:dyDescent="0.2">
      <c r="A18" t="s">
        <v>26</v>
      </c>
      <c r="B18" s="2">
        <v>2.1320000000000001</v>
      </c>
      <c r="C18" t="s">
        <v>25</v>
      </c>
    </row>
    <row r="19" spans="1:3" x14ac:dyDescent="0.2">
      <c r="A19" t="s">
        <v>27</v>
      </c>
      <c r="B19" s="2">
        <v>1.2749999999999999</v>
      </c>
      <c r="C19" t="s">
        <v>25</v>
      </c>
    </row>
    <row r="20" spans="1:3" x14ac:dyDescent="0.2">
      <c r="A20" t="s">
        <v>28</v>
      </c>
      <c r="B20" s="2">
        <v>6.0000000000000001E-3</v>
      </c>
      <c r="C20" t="s">
        <v>29</v>
      </c>
    </row>
    <row r="21" spans="1:3" x14ac:dyDescent="0.2">
      <c r="A21" t="s">
        <v>30</v>
      </c>
      <c r="B21" s="2">
        <v>0.06</v>
      </c>
      <c r="C21" t="s">
        <v>31</v>
      </c>
    </row>
    <row r="22" spans="1:3" x14ac:dyDescent="0.2">
      <c r="A22" t="s">
        <v>32</v>
      </c>
      <c r="B22" s="2">
        <f>SUMIF(Blocks!AD2:AD7,"yes",Blocks!P2:P7)</f>
        <v>0</v>
      </c>
      <c r="C22" t="s">
        <v>29</v>
      </c>
    </row>
    <row r="23" spans="1:3" x14ac:dyDescent="0.2">
      <c r="A23" t="s">
        <v>33</v>
      </c>
      <c r="B23" s="5" t="e">
        <f>(0.2+0.02*LOG10(B22))*B22</f>
        <v>#NUM!</v>
      </c>
      <c r="C23" t="s">
        <v>34</v>
      </c>
    </row>
    <row r="25" spans="1:3" ht="16" x14ac:dyDescent="0.2">
      <c r="A25" s="1" t="s">
        <v>35</v>
      </c>
      <c r="B25" s="1" t="s">
        <v>21</v>
      </c>
      <c r="C25" s="1" t="s">
        <v>22</v>
      </c>
    </row>
    <row r="26" spans="1:3" x14ac:dyDescent="0.2">
      <c r="A26" t="s">
        <v>23</v>
      </c>
      <c r="B26" s="2">
        <v>56.747599999999998</v>
      </c>
      <c r="C26" t="s">
        <v>36</v>
      </c>
    </row>
    <row r="27" spans="1:3" x14ac:dyDescent="0.2">
      <c r="A27" t="s">
        <v>37</v>
      </c>
      <c r="B27" s="2">
        <v>0</v>
      </c>
      <c r="C27" t="s">
        <v>36</v>
      </c>
    </row>
    <row r="28" spans="1:3" x14ac:dyDescent="0.2">
      <c r="A28" t="s">
        <v>38</v>
      </c>
      <c r="B28" s="5">
        <v>56.747599999999998</v>
      </c>
      <c r="C28" t="s">
        <v>36</v>
      </c>
    </row>
    <row r="29" spans="1:3" x14ac:dyDescent="0.2">
      <c r="A29" t="s">
        <v>39</v>
      </c>
      <c r="B29" s="2">
        <v>6.0285000000000002</v>
      </c>
      <c r="C29" t="s">
        <v>25</v>
      </c>
    </row>
    <row r="30" spans="1:3" x14ac:dyDescent="0.2">
      <c r="A30" t="s">
        <v>40</v>
      </c>
      <c r="B30" s="2">
        <v>8.0000000000000004E-4</v>
      </c>
      <c r="C30" t="s">
        <v>25</v>
      </c>
    </row>
    <row r="31" spans="1:3" x14ac:dyDescent="0.2">
      <c r="A31" t="s">
        <v>41</v>
      </c>
      <c r="B31" s="2">
        <v>1.53</v>
      </c>
      <c r="C31" t="s">
        <v>25</v>
      </c>
    </row>
    <row r="33" spans="1:3" ht="16" x14ac:dyDescent="0.2">
      <c r="A33" s="1" t="s">
        <v>42</v>
      </c>
      <c r="B33" s="1" t="s">
        <v>21</v>
      </c>
      <c r="C33" s="1" t="s">
        <v>22</v>
      </c>
    </row>
    <row r="34" spans="1:3" x14ac:dyDescent="0.2">
      <c r="A34" t="s">
        <v>43</v>
      </c>
      <c r="B34" s="8">
        <v>1</v>
      </c>
      <c r="C34" t="s">
        <v>44</v>
      </c>
    </row>
    <row r="35" spans="1:3" x14ac:dyDescent="0.2">
      <c r="A35" t="s">
        <v>45</v>
      </c>
      <c r="B35" s="2">
        <v>1.611</v>
      </c>
      <c r="C35" t="s">
        <v>25</v>
      </c>
    </row>
    <row r="36" spans="1:3" x14ac:dyDescent="0.2">
      <c r="A36" t="s">
        <v>46</v>
      </c>
      <c r="B36" s="2">
        <v>56.643999999999998</v>
      </c>
      <c r="C36" t="s">
        <v>36</v>
      </c>
    </row>
    <row r="37" spans="1:3" x14ac:dyDescent="0.2">
      <c r="A37" t="s">
        <v>47</v>
      </c>
      <c r="B37" s="2">
        <v>-0.1036</v>
      </c>
      <c r="C37" t="s">
        <v>36</v>
      </c>
    </row>
    <row r="38" spans="1:3" x14ac:dyDescent="0.2">
      <c r="A38" t="s">
        <v>48</v>
      </c>
      <c r="B38" s="2">
        <v>6.1048</v>
      </c>
      <c r="C38" t="s">
        <v>25</v>
      </c>
    </row>
    <row r="39" spans="1:3" x14ac:dyDescent="0.2">
      <c r="A39" t="s">
        <v>49</v>
      </c>
      <c r="B39" s="2">
        <v>0.9869</v>
      </c>
      <c r="C39" t="s">
        <v>25</v>
      </c>
    </row>
    <row r="40" spans="1:3" x14ac:dyDescent="0.2">
      <c r="A40" t="s">
        <v>50</v>
      </c>
      <c r="B40" s="2">
        <v>-7.6300000000000007E-2</v>
      </c>
      <c r="C40" t="s">
        <v>25</v>
      </c>
    </row>
    <row r="41" spans="1:3" x14ac:dyDescent="0.2">
      <c r="A41" t="s">
        <v>51</v>
      </c>
      <c r="B41" s="2">
        <v>1.6126</v>
      </c>
      <c r="C41" t="s">
        <v>25</v>
      </c>
    </row>
    <row r="42" spans="1:3" x14ac:dyDescent="0.2">
      <c r="A42" t="s">
        <v>52</v>
      </c>
      <c r="B42" s="2">
        <v>1.6487000000000001</v>
      </c>
      <c r="C42" t="s">
        <v>25</v>
      </c>
    </row>
    <row r="43" spans="1:3" x14ac:dyDescent="0.2">
      <c r="A43" t="s">
        <v>53</v>
      </c>
      <c r="B43" s="2">
        <v>1.5521</v>
      </c>
      <c r="C43" t="s">
        <v>25</v>
      </c>
    </row>
    <row r="44" spans="1:3" x14ac:dyDescent="0.2">
      <c r="A44" t="s">
        <v>54</v>
      </c>
      <c r="B44" s="2">
        <v>9.6600000000000005E-2</v>
      </c>
      <c r="C44" t="s">
        <v>25</v>
      </c>
    </row>
    <row r="45" spans="1:3" x14ac:dyDescent="0.2">
      <c r="A45" t="s">
        <v>55</v>
      </c>
      <c r="B45" s="2">
        <v>0.30259999999999998</v>
      </c>
      <c r="C45" t="s">
        <v>56</v>
      </c>
    </row>
    <row r="46" spans="1:3" x14ac:dyDescent="0.2">
      <c r="A46" t="s">
        <v>57</v>
      </c>
      <c r="B46" s="2">
        <v>9.9099999999999994E-2</v>
      </c>
      <c r="C46" t="s">
        <v>56</v>
      </c>
    </row>
    <row r="48" spans="1:3" ht="16" x14ac:dyDescent="0.2">
      <c r="A48" s="1" t="s">
        <v>58</v>
      </c>
      <c r="B48" s="1" t="s">
        <v>21</v>
      </c>
      <c r="C48" s="1" t="s">
        <v>22</v>
      </c>
    </row>
    <row r="49" spans="1:8" x14ac:dyDescent="0.2">
      <c r="A49" t="s">
        <v>49</v>
      </c>
      <c r="B49" s="2">
        <v>0.98780000000000001</v>
      </c>
      <c r="C49" t="s">
        <v>25</v>
      </c>
    </row>
    <row r="50" spans="1:8" x14ac:dyDescent="0.2">
      <c r="A50" t="s">
        <v>59</v>
      </c>
      <c r="B50" s="2">
        <v>1.0011000000000001</v>
      </c>
      <c r="C50" t="s">
        <v>25</v>
      </c>
    </row>
    <row r="51" spans="1:8" x14ac:dyDescent="0.2">
      <c r="A51" t="s">
        <v>60</v>
      </c>
      <c r="B51" s="2">
        <v>1.9888999999999999</v>
      </c>
      <c r="C51" t="s">
        <v>25</v>
      </c>
    </row>
    <row r="52" spans="1:8" x14ac:dyDescent="0.2">
      <c r="A52" t="s">
        <v>61</v>
      </c>
      <c r="B52" s="2">
        <v>1.53</v>
      </c>
      <c r="C52" t="s">
        <v>25</v>
      </c>
    </row>
    <row r="53" spans="1:8" x14ac:dyDescent="0.2">
      <c r="A53" t="s">
        <v>62</v>
      </c>
      <c r="B53" s="8">
        <v>0</v>
      </c>
      <c r="C53" t="s">
        <v>25</v>
      </c>
    </row>
    <row r="54" spans="1:8" x14ac:dyDescent="0.2">
      <c r="A54" t="s">
        <v>63</v>
      </c>
      <c r="B54" s="5">
        <v>0.45889999999999997</v>
      </c>
      <c r="C54" t="s">
        <v>25</v>
      </c>
    </row>
    <row r="55" spans="1:8" x14ac:dyDescent="0.2">
      <c r="A55" t="s">
        <v>64</v>
      </c>
      <c r="B55" s="3">
        <v>14.611800000000001</v>
      </c>
      <c r="C55" t="s">
        <v>25</v>
      </c>
    </row>
    <row r="56" spans="1:8" x14ac:dyDescent="0.2">
      <c r="A56" t="s">
        <v>65</v>
      </c>
      <c r="B56" s="2">
        <v>0.32</v>
      </c>
      <c r="C56" t="s">
        <v>25</v>
      </c>
    </row>
    <row r="57" spans="1:8" x14ac:dyDescent="0.2">
      <c r="A57" t="s">
        <v>66</v>
      </c>
      <c r="B57" s="3">
        <v>25.9</v>
      </c>
      <c r="C57" t="s">
        <v>56</v>
      </c>
    </row>
    <row r="58" spans="1:8" x14ac:dyDescent="0.2">
      <c r="A58" t="s">
        <v>67</v>
      </c>
      <c r="B58" s="3">
        <v>25.9</v>
      </c>
      <c r="C58" t="s">
        <v>56</v>
      </c>
    </row>
    <row r="59" spans="1:8" x14ac:dyDescent="0.2">
      <c r="A59" t="s">
        <v>68</v>
      </c>
      <c r="B59" s="11" t="s">
        <v>69</v>
      </c>
    </row>
    <row r="60" spans="1:8" x14ac:dyDescent="0.2">
      <c r="A60" t="s">
        <v>70</v>
      </c>
      <c r="B60" s="11" t="s">
        <v>69</v>
      </c>
    </row>
    <row r="61" spans="1:8" x14ac:dyDescent="0.2">
      <c r="A61" t="s">
        <v>71</v>
      </c>
      <c r="B61" s="11" t="s">
        <v>69</v>
      </c>
    </row>
    <row r="63" spans="1:8" ht="16" x14ac:dyDescent="0.2">
      <c r="A63" s="1" t="s">
        <v>72</v>
      </c>
      <c r="B63" s="1" t="s">
        <v>23</v>
      </c>
      <c r="C63" s="1" t="s">
        <v>73</v>
      </c>
      <c r="D63" s="1" t="s">
        <v>74</v>
      </c>
      <c r="E63" s="1" t="s">
        <v>75</v>
      </c>
      <c r="F63" s="1" t="s">
        <v>76</v>
      </c>
      <c r="G63" s="1" t="s">
        <v>77</v>
      </c>
      <c r="H63" s="1" t="s">
        <v>78</v>
      </c>
    </row>
    <row r="64" spans="1:8" x14ac:dyDescent="0.2">
      <c r="A64" s="12" t="s">
        <v>79</v>
      </c>
      <c r="B64" s="13">
        <v>6</v>
      </c>
      <c r="C64" s="14">
        <v>0.06</v>
      </c>
      <c r="D64" s="14">
        <v>6.0000000000000001E-3</v>
      </c>
      <c r="E64" s="14">
        <v>56.747599999999998</v>
      </c>
      <c r="F64" s="14">
        <v>6.0285000000000002</v>
      </c>
      <c r="G64" s="14">
        <v>8.0000000000000004E-4</v>
      </c>
      <c r="H64" s="14">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baseColWidth="10" defaultColWidth="8.83203125" defaultRowHeight="15" x14ac:dyDescent="0.2"/>
  <cols>
    <col min="1" max="1" width="46" customWidth="1"/>
    <col min="2" max="2" width="26" customWidth="1"/>
  </cols>
  <sheetData>
    <row r="1" spans="1:2" ht="19" x14ac:dyDescent="0.25">
      <c r="A1" s="6" t="s">
        <v>80</v>
      </c>
    </row>
    <row r="2" spans="1:2" x14ac:dyDescent="0.2">
      <c r="A2" s="7" t="s">
        <v>81</v>
      </c>
    </row>
    <row r="4" spans="1:2" x14ac:dyDescent="0.2">
      <c r="A4" s="4" t="s">
        <v>23</v>
      </c>
      <c r="B4">
        <v>6</v>
      </c>
    </row>
    <row r="5" spans="1:2" x14ac:dyDescent="0.2">
      <c r="A5" s="4" t="s">
        <v>82</v>
      </c>
      <c r="B5">
        <v>1</v>
      </c>
    </row>
    <row r="6" spans="1:2" x14ac:dyDescent="0.2">
      <c r="A6" s="4" t="s">
        <v>5</v>
      </c>
      <c r="B6">
        <v>0</v>
      </c>
    </row>
    <row r="7" spans="1:2" x14ac:dyDescent="0.2">
      <c r="A7" s="4" t="s">
        <v>83</v>
      </c>
      <c r="B7">
        <v>1</v>
      </c>
    </row>
    <row r="8" spans="1:2" x14ac:dyDescent="0.2">
      <c r="A8" s="4" t="s">
        <v>84</v>
      </c>
      <c r="B8" s="8">
        <v>1</v>
      </c>
    </row>
    <row r="9" spans="1:2" x14ac:dyDescent="0.2">
      <c r="A9" s="4" t="s">
        <v>85</v>
      </c>
      <c r="B9">
        <v>0</v>
      </c>
    </row>
    <row r="10" spans="1:2" x14ac:dyDescent="0.2">
      <c r="A10" s="4" t="s">
        <v>86</v>
      </c>
      <c r="B10" t="s">
        <v>87</v>
      </c>
    </row>
    <row r="12" spans="1:2" x14ac:dyDescent="0.2">
      <c r="A12" s="4" t="s">
        <v>88</v>
      </c>
    </row>
    <row r="13" spans="1:2" x14ac:dyDescent="0.2">
      <c r="A13" s="7" t="s">
        <v>89</v>
      </c>
    </row>
    <row r="14" spans="1:2" x14ac:dyDescent="0.2">
      <c r="A14" s="7" t="s">
        <v>90</v>
      </c>
    </row>
    <row r="15" spans="1:2" x14ac:dyDescent="0.2">
      <c r="A15" s="7"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9"/>
  <sheetViews>
    <sheetView workbookViewId="0">
      <pane ySplit="4" topLeftCell="A5" activePane="bottomLeft" state="frozen"/>
      <selection pane="bottomLeft"/>
    </sheetView>
  </sheetViews>
  <sheetFormatPr baseColWidth="10" defaultColWidth="8.83203125" defaultRowHeight="15" x14ac:dyDescent="0.2"/>
  <cols>
    <col min="1" max="1" width="3" customWidth="1"/>
    <col min="2" max="2" width="46" customWidth="1"/>
    <col min="3" max="3" width="24" customWidth="1"/>
    <col min="4" max="4" width="14" customWidth="1"/>
    <col min="5" max="5" width="8" customWidth="1"/>
    <col min="6" max="6" width="12" customWidth="1"/>
    <col min="7" max="7" width="13" customWidth="1"/>
    <col min="8" max="8" width="14" customWidth="1"/>
    <col min="9" max="9" width="9" customWidth="1"/>
    <col min="10" max="13" width="12" customWidth="1"/>
  </cols>
  <sheetData>
    <row r="1" spans="1:13" ht="19" x14ac:dyDescent="0.25">
      <c r="A1" s="6" t="s">
        <v>92</v>
      </c>
    </row>
    <row r="2" spans="1:13" x14ac:dyDescent="0.2">
      <c r="A2" s="7" t="s">
        <v>93</v>
      </c>
    </row>
    <row r="4" spans="1:13" ht="16" x14ac:dyDescent="0.2">
      <c r="A4" s="1" t="s">
        <v>16</v>
      </c>
      <c r="B4" s="1" t="s">
        <v>94</v>
      </c>
      <c r="C4" s="1" t="s">
        <v>95</v>
      </c>
      <c r="D4" s="1" t="s">
        <v>96</v>
      </c>
      <c r="E4" s="1" t="s">
        <v>23</v>
      </c>
      <c r="F4" s="1" t="s">
        <v>73</v>
      </c>
      <c r="G4" s="1" t="s">
        <v>74</v>
      </c>
      <c r="H4" s="1" t="s">
        <v>97</v>
      </c>
      <c r="I4" s="1" t="s">
        <v>98</v>
      </c>
      <c r="J4" s="1" t="s">
        <v>75</v>
      </c>
      <c r="K4" s="1" t="s">
        <v>76</v>
      </c>
      <c r="L4" s="1" t="s">
        <v>77</v>
      </c>
      <c r="M4" s="1" t="s">
        <v>78</v>
      </c>
    </row>
    <row r="5" spans="1:13" x14ac:dyDescent="0.2">
      <c r="A5" s="15" t="s">
        <v>16</v>
      </c>
      <c r="B5" s="16" t="s">
        <v>79</v>
      </c>
      <c r="C5" s="17" t="s">
        <v>16</v>
      </c>
      <c r="D5" s="17" t="s">
        <v>16</v>
      </c>
      <c r="E5" s="16">
        <v>6</v>
      </c>
      <c r="F5" s="18">
        <f>SUBTOTAL(9,F6:F11)</f>
        <v>6.0000000000000005E-2</v>
      </c>
      <c r="G5" s="18">
        <f>SUBTOTAL(9,G6:G11)</f>
        <v>6.0000000000000001E-3</v>
      </c>
      <c r="H5" s="19">
        <v>0.3</v>
      </c>
      <c r="I5" s="17" t="s">
        <v>16</v>
      </c>
      <c r="J5" s="18">
        <f>SUBTOTAL(9,J6:J11)</f>
        <v>56.747699999999995</v>
      </c>
      <c r="K5" s="18">
        <v>6.0285000000000002</v>
      </c>
      <c r="L5" s="18">
        <v>8.0000000000000004E-4</v>
      </c>
      <c r="M5" s="18">
        <v>1.53</v>
      </c>
    </row>
    <row r="6" spans="1:13" x14ac:dyDescent="0.2">
      <c r="A6" s="15" t="s">
        <v>16</v>
      </c>
      <c r="B6" s="20" t="s">
        <v>99</v>
      </c>
      <c r="D6" t="s">
        <v>100</v>
      </c>
      <c r="E6">
        <v>1</v>
      </c>
      <c r="F6" s="2">
        <v>0.01</v>
      </c>
      <c r="G6" s="2">
        <v>1E-3</v>
      </c>
      <c r="H6" s="8">
        <v>0.3</v>
      </c>
      <c r="I6" s="3">
        <v>100</v>
      </c>
      <c r="J6" s="2">
        <v>15.924300000000001</v>
      </c>
      <c r="K6" s="2">
        <v>7.3028000000000004</v>
      </c>
      <c r="L6" s="2">
        <v>2.8E-3</v>
      </c>
      <c r="M6" s="2">
        <v>1.7838000000000001</v>
      </c>
    </row>
    <row r="7" spans="1:13" x14ac:dyDescent="0.2">
      <c r="A7" s="15" t="s">
        <v>16</v>
      </c>
      <c r="B7" s="20" t="s">
        <v>101</v>
      </c>
      <c r="D7" t="s">
        <v>100</v>
      </c>
      <c r="E7">
        <v>1</v>
      </c>
      <c r="F7" s="2">
        <v>0.01</v>
      </c>
      <c r="G7" s="2">
        <v>1E-3</v>
      </c>
      <c r="H7" s="8">
        <v>0.3</v>
      </c>
      <c r="I7" s="3">
        <v>100</v>
      </c>
      <c r="J7" s="2">
        <v>13.607799999999999</v>
      </c>
      <c r="K7" s="2">
        <v>6.6501999999999999</v>
      </c>
      <c r="L7" s="2">
        <v>0</v>
      </c>
      <c r="M7" s="2">
        <v>1.8801000000000001</v>
      </c>
    </row>
    <row r="8" spans="1:13" x14ac:dyDescent="0.2">
      <c r="A8" s="15" t="s">
        <v>16</v>
      </c>
      <c r="B8" s="20" t="s">
        <v>102</v>
      </c>
      <c r="D8" t="s">
        <v>100</v>
      </c>
      <c r="E8">
        <v>1</v>
      </c>
      <c r="F8" s="2">
        <v>0.01</v>
      </c>
      <c r="G8" s="2">
        <v>1E-3</v>
      </c>
      <c r="H8" s="8">
        <v>0.3</v>
      </c>
      <c r="I8" s="3">
        <v>100</v>
      </c>
      <c r="J8" s="2">
        <v>6.8038999999999996</v>
      </c>
      <c r="K8" s="2">
        <v>3.1985999999999999</v>
      </c>
      <c r="L8" s="2">
        <v>-1.016</v>
      </c>
      <c r="M8" s="2">
        <v>0.85699999999999998</v>
      </c>
    </row>
    <row r="9" spans="1:13" x14ac:dyDescent="0.2">
      <c r="A9" s="15" t="s">
        <v>16</v>
      </c>
      <c r="B9" s="20" t="s">
        <v>103</v>
      </c>
      <c r="D9" t="s">
        <v>100</v>
      </c>
      <c r="E9">
        <v>1</v>
      </c>
      <c r="F9" s="2">
        <v>0.01</v>
      </c>
      <c r="G9" s="2">
        <v>1E-3</v>
      </c>
      <c r="H9" s="8">
        <v>0.3</v>
      </c>
      <c r="I9" s="3">
        <v>100</v>
      </c>
      <c r="J9" s="2">
        <v>6.8038999999999996</v>
      </c>
      <c r="K9" s="2">
        <v>3.1985999999999999</v>
      </c>
      <c r="L9" s="2">
        <v>1.016</v>
      </c>
      <c r="M9" s="2">
        <v>0.85699999999999998</v>
      </c>
    </row>
    <row r="10" spans="1:13" x14ac:dyDescent="0.2">
      <c r="A10" s="15" t="s">
        <v>16</v>
      </c>
      <c r="B10" s="20" t="s">
        <v>104</v>
      </c>
      <c r="D10" t="s">
        <v>100</v>
      </c>
      <c r="E10">
        <v>1</v>
      </c>
      <c r="F10" s="2">
        <v>0.01</v>
      </c>
      <c r="G10" s="2">
        <v>1E-3</v>
      </c>
      <c r="H10" s="8">
        <v>0.3</v>
      </c>
      <c r="I10" s="3">
        <v>100</v>
      </c>
      <c r="J10" s="2">
        <v>6.8038999999999996</v>
      </c>
      <c r="K10" s="2">
        <v>3.2847</v>
      </c>
      <c r="L10" s="2">
        <v>0</v>
      </c>
      <c r="M10" s="2">
        <v>1.0794999999999999</v>
      </c>
    </row>
    <row r="11" spans="1:13" x14ac:dyDescent="0.2">
      <c r="A11" s="15" t="s">
        <v>16</v>
      </c>
      <c r="B11" s="20" t="s">
        <v>104</v>
      </c>
      <c r="D11" t="s">
        <v>100</v>
      </c>
      <c r="E11">
        <v>1</v>
      </c>
      <c r="F11" s="2">
        <v>0.01</v>
      </c>
      <c r="G11" s="2">
        <v>1E-3</v>
      </c>
      <c r="H11" s="8">
        <v>0.3</v>
      </c>
      <c r="I11" s="3">
        <v>100</v>
      </c>
      <c r="J11" s="2">
        <v>6.8038999999999996</v>
      </c>
      <c r="K11" s="2">
        <v>10.206200000000001</v>
      </c>
      <c r="L11" s="2">
        <v>0</v>
      </c>
      <c r="M11" s="2">
        <v>2.032</v>
      </c>
    </row>
    <row r="12" spans="1:13" x14ac:dyDescent="0.2">
      <c r="A12" t="s">
        <v>16</v>
      </c>
      <c r="B12" s="4" t="s">
        <v>105</v>
      </c>
      <c r="E12" s="4">
        <v>6</v>
      </c>
      <c r="F12" s="5">
        <f>SUBTOTAL(9,F5:F11)</f>
        <v>6.0000000000000005E-2</v>
      </c>
      <c r="G12" s="5">
        <f>SUBTOTAL(9,G5:G11)</f>
        <v>6.0000000000000001E-3</v>
      </c>
      <c r="J12" s="5">
        <f>SUBTOTAL(9,J5:J11)</f>
        <v>56.747699999999995</v>
      </c>
      <c r="K12" s="5">
        <v>6.0285000000000002</v>
      </c>
      <c r="L12" s="5">
        <v>8.0000000000000004E-4</v>
      </c>
      <c r="M12" s="5">
        <v>1.53</v>
      </c>
    </row>
    <row r="14" spans="1:13" x14ac:dyDescent="0.2">
      <c r="A14" t="s">
        <v>16</v>
      </c>
      <c r="B14" s="4" t="s">
        <v>106</v>
      </c>
    </row>
    <row r="15" spans="1:13" x14ac:dyDescent="0.2">
      <c r="B15" t="s">
        <v>107</v>
      </c>
      <c r="F15" s="2">
        <v>7.1075999999999997</v>
      </c>
    </row>
    <row r="16" spans="1:13" x14ac:dyDescent="0.2">
      <c r="B16" t="s">
        <v>108</v>
      </c>
      <c r="F16" s="2">
        <v>2.1320000000000001</v>
      </c>
    </row>
    <row r="17" spans="1:12" x14ac:dyDescent="0.2">
      <c r="B17" t="s">
        <v>109</v>
      </c>
      <c r="F17" s="2">
        <v>1.2749999999999999</v>
      </c>
    </row>
    <row r="19" spans="1:12" ht="32" x14ac:dyDescent="0.2">
      <c r="A19" s="1" t="s">
        <v>16</v>
      </c>
      <c r="B19" s="1" t="s">
        <v>95</v>
      </c>
      <c r="C19" s="1" t="s">
        <v>110</v>
      </c>
      <c r="D19" s="1" t="s">
        <v>111</v>
      </c>
      <c r="E19" s="1" t="s">
        <v>23</v>
      </c>
      <c r="F19" s="1" t="s">
        <v>112</v>
      </c>
      <c r="G19" s="1" t="s">
        <v>113</v>
      </c>
      <c r="H19" s="1" t="s">
        <v>114</v>
      </c>
      <c r="I19" s="1" t="s">
        <v>16</v>
      </c>
      <c r="J19" s="1" t="s">
        <v>4</v>
      </c>
      <c r="K19" s="1" t="s">
        <v>115</v>
      </c>
      <c r="L19" s="1" t="s">
        <v>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8"/>
  <sheetViews>
    <sheetView workbookViewId="0">
      <pane ySplit="1" topLeftCell="A2" activePane="bottomLeft" state="frozen"/>
      <selection pane="bottomLeft"/>
    </sheetView>
  </sheetViews>
  <sheetFormatPr baseColWidth="10" defaultColWidth="8.83203125" defaultRowHeight="15" x14ac:dyDescent="0.2"/>
  <cols>
    <col min="1" max="1" width="7" customWidth="1"/>
    <col min="2" max="2" width="28" customWidth="1"/>
    <col min="3" max="3" width="34" customWidth="1"/>
    <col min="4" max="5" width="22" customWidth="1"/>
    <col min="6" max="6" width="14" customWidth="1"/>
    <col min="7" max="28" width="13" customWidth="1"/>
  </cols>
  <sheetData>
    <row r="1" spans="1:30" ht="48" x14ac:dyDescent="0.2">
      <c r="A1" s="1" t="s">
        <v>117</v>
      </c>
      <c r="B1" s="1" t="s">
        <v>118</v>
      </c>
      <c r="C1" s="1" t="s">
        <v>119</v>
      </c>
      <c r="D1" s="1" t="s">
        <v>120</v>
      </c>
      <c r="E1" s="1" t="s">
        <v>95</v>
      </c>
      <c r="F1" s="1" t="s">
        <v>96</v>
      </c>
      <c r="G1" s="1" t="s">
        <v>121</v>
      </c>
      <c r="H1" s="1" t="s">
        <v>122</v>
      </c>
      <c r="I1" s="1" t="s">
        <v>123</v>
      </c>
      <c r="J1" s="1" t="s">
        <v>124</v>
      </c>
      <c r="K1" s="1" t="s">
        <v>125</v>
      </c>
      <c r="L1" s="1" t="s">
        <v>126</v>
      </c>
      <c r="M1" s="1" t="s">
        <v>127</v>
      </c>
      <c r="N1" s="1" t="s">
        <v>128</v>
      </c>
      <c r="O1" s="1" t="s">
        <v>129</v>
      </c>
      <c r="P1" s="1" t="s">
        <v>74</v>
      </c>
      <c r="Q1" s="1" t="s">
        <v>73</v>
      </c>
      <c r="R1" s="1" t="s">
        <v>130</v>
      </c>
      <c r="S1" s="1" t="s">
        <v>131</v>
      </c>
      <c r="T1" s="1" t="s">
        <v>132</v>
      </c>
      <c r="U1" s="1" t="s">
        <v>97</v>
      </c>
      <c r="V1" s="1" t="s">
        <v>98</v>
      </c>
      <c r="W1" s="1" t="s">
        <v>75</v>
      </c>
      <c r="X1" s="1" t="s">
        <v>133</v>
      </c>
      <c r="Y1" s="1" t="s">
        <v>134</v>
      </c>
      <c r="Z1" s="1" t="s">
        <v>135</v>
      </c>
      <c r="AA1" s="1" t="s">
        <v>136</v>
      </c>
      <c r="AB1" s="1" t="s">
        <v>137</v>
      </c>
      <c r="AC1" s="1" t="s">
        <v>138</v>
      </c>
      <c r="AD1" s="1" t="s">
        <v>139</v>
      </c>
    </row>
    <row r="2" spans="1:30" x14ac:dyDescent="0.2">
      <c r="A2" s="15" t="s">
        <v>140</v>
      </c>
      <c r="B2" s="21" t="s">
        <v>141</v>
      </c>
      <c r="C2" t="s">
        <v>79</v>
      </c>
      <c r="D2" s="21" t="s">
        <v>79</v>
      </c>
      <c r="F2" t="s">
        <v>100</v>
      </c>
      <c r="G2" s="2">
        <v>7.3028000000000004</v>
      </c>
      <c r="H2" s="2">
        <v>2.8E-3</v>
      </c>
      <c r="I2" s="2">
        <v>1.7838000000000001</v>
      </c>
      <c r="J2" s="2">
        <v>0.1</v>
      </c>
      <c r="K2" s="2">
        <v>0.1</v>
      </c>
      <c r="L2" s="2">
        <v>0.1</v>
      </c>
      <c r="M2" s="3">
        <v>0</v>
      </c>
      <c r="N2" s="3">
        <v>0</v>
      </c>
      <c r="O2" s="3">
        <v>0</v>
      </c>
      <c r="P2" s="2">
        <v>1E-3</v>
      </c>
      <c r="Q2" s="2">
        <v>0.01</v>
      </c>
      <c r="R2" s="2">
        <v>1E-3</v>
      </c>
      <c r="S2" s="2">
        <v>0</v>
      </c>
      <c r="T2" s="3">
        <v>0</v>
      </c>
      <c r="U2" s="8">
        <v>0.3</v>
      </c>
      <c r="V2" s="3">
        <v>100</v>
      </c>
      <c r="W2" s="2">
        <v>15.924300000000001</v>
      </c>
      <c r="X2" t="s">
        <v>142</v>
      </c>
      <c r="Y2" s="2">
        <v>7.3028000000000004</v>
      </c>
      <c r="Z2" s="2">
        <v>2.8E-3</v>
      </c>
      <c r="AA2" s="2">
        <v>1.7838000000000001</v>
      </c>
      <c r="AB2" t="s">
        <v>143</v>
      </c>
      <c r="AC2" t="s">
        <v>143</v>
      </c>
      <c r="AD2" t="s">
        <v>143</v>
      </c>
    </row>
    <row r="3" spans="1:30" x14ac:dyDescent="0.2">
      <c r="A3" s="15" t="s">
        <v>144</v>
      </c>
      <c r="B3" s="21" t="s">
        <v>145</v>
      </c>
      <c r="C3" t="s">
        <v>79</v>
      </c>
      <c r="D3" s="21" t="s">
        <v>79</v>
      </c>
      <c r="F3" t="s">
        <v>100</v>
      </c>
      <c r="G3" s="2">
        <v>6.6501999999999999</v>
      </c>
      <c r="H3" s="2">
        <v>0</v>
      </c>
      <c r="I3" s="2">
        <v>1.8801000000000001</v>
      </c>
      <c r="J3" s="2">
        <v>0.1</v>
      </c>
      <c r="K3" s="2">
        <v>0.1</v>
      </c>
      <c r="L3" s="2">
        <v>0.1</v>
      </c>
      <c r="M3" s="3">
        <v>0</v>
      </c>
      <c r="N3" s="3">
        <v>0</v>
      </c>
      <c r="O3" s="3">
        <v>0</v>
      </c>
      <c r="P3" s="2">
        <v>1E-3</v>
      </c>
      <c r="Q3" s="2">
        <v>0.01</v>
      </c>
      <c r="R3" s="2">
        <v>1E-3</v>
      </c>
      <c r="S3" s="2">
        <v>0</v>
      </c>
      <c r="T3" s="3">
        <v>0</v>
      </c>
      <c r="U3" s="8">
        <v>0.3</v>
      </c>
      <c r="V3" s="3">
        <v>100</v>
      </c>
      <c r="W3" s="2">
        <v>13.607799999999999</v>
      </c>
      <c r="X3" t="s">
        <v>142</v>
      </c>
      <c r="Y3" s="2">
        <v>6.6501999999999999</v>
      </c>
      <c r="Z3" s="2">
        <v>0</v>
      </c>
      <c r="AA3" s="2">
        <v>1.8801000000000001</v>
      </c>
      <c r="AB3" t="s">
        <v>143</v>
      </c>
      <c r="AC3" t="s">
        <v>143</v>
      </c>
      <c r="AD3" t="s">
        <v>143</v>
      </c>
    </row>
    <row r="4" spans="1:30" x14ac:dyDescent="0.2">
      <c r="A4" s="15" t="s">
        <v>146</v>
      </c>
      <c r="B4" s="21" t="s">
        <v>147</v>
      </c>
      <c r="C4" t="s">
        <v>79</v>
      </c>
      <c r="D4" s="21" t="s">
        <v>79</v>
      </c>
      <c r="F4" t="s">
        <v>100</v>
      </c>
      <c r="G4" s="2">
        <v>3.1985999999999999</v>
      </c>
      <c r="H4" s="2">
        <v>-1.016</v>
      </c>
      <c r="I4" s="2">
        <v>0.85699999999999998</v>
      </c>
      <c r="J4" s="2">
        <v>0.1</v>
      </c>
      <c r="K4" s="2">
        <v>0.1</v>
      </c>
      <c r="L4" s="2">
        <v>0.1</v>
      </c>
      <c r="M4" s="3">
        <v>0</v>
      </c>
      <c r="N4" s="3">
        <v>0</v>
      </c>
      <c r="O4" s="3">
        <v>0</v>
      </c>
      <c r="P4" s="2">
        <v>1E-3</v>
      </c>
      <c r="Q4" s="2">
        <v>0.01</v>
      </c>
      <c r="R4" s="2">
        <v>1E-3</v>
      </c>
      <c r="S4" s="2">
        <v>0</v>
      </c>
      <c r="T4" s="3">
        <v>0</v>
      </c>
      <c r="U4" s="8">
        <v>0.3</v>
      </c>
      <c r="V4" s="3">
        <v>100</v>
      </c>
      <c r="W4" s="2">
        <v>6.8038999999999996</v>
      </c>
      <c r="X4" t="s">
        <v>142</v>
      </c>
      <c r="Y4" s="2">
        <v>3.1985999999999999</v>
      </c>
      <c r="Z4" s="2">
        <v>-1.016</v>
      </c>
      <c r="AA4" s="2">
        <v>0.85699999999999998</v>
      </c>
      <c r="AB4" t="s">
        <v>143</v>
      </c>
      <c r="AC4" t="s">
        <v>143</v>
      </c>
      <c r="AD4" t="s">
        <v>143</v>
      </c>
    </row>
    <row r="5" spans="1:30" x14ac:dyDescent="0.2">
      <c r="A5" s="15" t="s">
        <v>148</v>
      </c>
      <c r="B5" s="21" t="s">
        <v>149</v>
      </c>
      <c r="C5" t="s">
        <v>79</v>
      </c>
      <c r="D5" s="21" t="s">
        <v>79</v>
      </c>
      <c r="F5" t="s">
        <v>100</v>
      </c>
      <c r="G5" s="2">
        <v>3.1985999999999999</v>
      </c>
      <c r="H5" s="2">
        <v>1.016</v>
      </c>
      <c r="I5" s="2">
        <v>0.85699999999999998</v>
      </c>
      <c r="J5" s="2">
        <v>0.1</v>
      </c>
      <c r="K5" s="2">
        <v>0.1</v>
      </c>
      <c r="L5" s="2">
        <v>0.1</v>
      </c>
      <c r="M5" s="3">
        <v>0</v>
      </c>
      <c r="N5" s="3">
        <v>0</v>
      </c>
      <c r="O5" s="3">
        <v>0</v>
      </c>
      <c r="P5" s="2">
        <v>1E-3</v>
      </c>
      <c r="Q5" s="2">
        <v>0.01</v>
      </c>
      <c r="R5" s="2">
        <v>1E-3</v>
      </c>
      <c r="S5" s="2">
        <v>0</v>
      </c>
      <c r="T5" s="3">
        <v>0</v>
      </c>
      <c r="U5" s="8">
        <v>0.3</v>
      </c>
      <c r="V5" s="3">
        <v>100</v>
      </c>
      <c r="W5" s="2">
        <v>6.8038999999999996</v>
      </c>
      <c r="X5" t="s">
        <v>142</v>
      </c>
      <c r="Y5" s="2">
        <v>3.1985999999999999</v>
      </c>
      <c r="Z5" s="2">
        <v>1.016</v>
      </c>
      <c r="AA5" s="2">
        <v>0.85699999999999998</v>
      </c>
      <c r="AB5" t="s">
        <v>143</v>
      </c>
      <c r="AC5" t="s">
        <v>143</v>
      </c>
      <c r="AD5" t="s">
        <v>143</v>
      </c>
    </row>
    <row r="6" spans="1:30" x14ac:dyDescent="0.2">
      <c r="A6" s="15" t="s">
        <v>150</v>
      </c>
      <c r="B6" s="21" t="s">
        <v>151</v>
      </c>
      <c r="C6" t="s">
        <v>79</v>
      </c>
      <c r="D6" s="21" t="s">
        <v>79</v>
      </c>
      <c r="F6" t="s">
        <v>100</v>
      </c>
      <c r="G6" s="2">
        <v>3.2847</v>
      </c>
      <c r="H6" s="2">
        <v>0</v>
      </c>
      <c r="I6" s="2">
        <v>1.0794999999999999</v>
      </c>
      <c r="J6" s="2">
        <v>0.1</v>
      </c>
      <c r="K6" s="2">
        <v>0.1</v>
      </c>
      <c r="L6" s="2">
        <v>0.1</v>
      </c>
      <c r="M6" s="3">
        <v>0</v>
      </c>
      <c r="N6" s="3">
        <v>0</v>
      </c>
      <c r="O6" s="3">
        <v>0</v>
      </c>
      <c r="P6" s="2">
        <v>1E-3</v>
      </c>
      <c r="Q6" s="2">
        <v>0.01</v>
      </c>
      <c r="R6" s="2">
        <v>1E-3</v>
      </c>
      <c r="S6" s="2">
        <v>0</v>
      </c>
      <c r="T6" s="3">
        <v>0</v>
      </c>
      <c r="U6" s="8">
        <v>0.3</v>
      </c>
      <c r="V6" s="3">
        <v>100</v>
      </c>
      <c r="W6" s="2">
        <v>6.8038999999999996</v>
      </c>
      <c r="X6" t="s">
        <v>142</v>
      </c>
      <c r="Y6" s="2">
        <v>3.2847</v>
      </c>
      <c r="Z6" s="2">
        <v>0</v>
      </c>
      <c r="AA6" s="2">
        <v>1.0794999999999999</v>
      </c>
      <c r="AB6" t="s">
        <v>143</v>
      </c>
      <c r="AC6" t="s">
        <v>143</v>
      </c>
      <c r="AD6" t="s">
        <v>143</v>
      </c>
    </row>
    <row r="7" spans="1:30" x14ac:dyDescent="0.2">
      <c r="A7" s="15" t="s">
        <v>152</v>
      </c>
      <c r="B7" s="21" t="s">
        <v>151</v>
      </c>
      <c r="C7" t="s">
        <v>79</v>
      </c>
      <c r="D7" s="21" t="s">
        <v>79</v>
      </c>
      <c r="F7" t="s">
        <v>100</v>
      </c>
      <c r="G7" s="2">
        <v>10.206200000000001</v>
      </c>
      <c r="H7" s="2">
        <v>0</v>
      </c>
      <c r="I7" s="2">
        <v>2.032</v>
      </c>
      <c r="J7" s="2">
        <v>0.1</v>
      </c>
      <c r="K7" s="2">
        <v>0.1</v>
      </c>
      <c r="L7" s="2">
        <v>0.1</v>
      </c>
      <c r="M7" s="3">
        <v>0</v>
      </c>
      <c r="N7" s="3">
        <v>0</v>
      </c>
      <c r="O7" s="3">
        <v>0</v>
      </c>
      <c r="P7" s="2">
        <v>1E-3</v>
      </c>
      <c r="Q7" s="2">
        <v>0.01</v>
      </c>
      <c r="R7" s="2">
        <v>1E-3</v>
      </c>
      <c r="S7" s="2">
        <v>0</v>
      </c>
      <c r="T7" s="3">
        <v>0</v>
      </c>
      <c r="U7" s="8">
        <v>0.3</v>
      </c>
      <c r="V7" s="3">
        <v>100</v>
      </c>
      <c r="W7" s="2">
        <v>6.8038999999999996</v>
      </c>
      <c r="X7" t="s">
        <v>142</v>
      </c>
      <c r="Y7" s="2">
        <v>10.206200000000001</v>
      </c>
      <c r="Z7" s="2">
        <v>0</v>
      </c>
      <c r="AA7" s="2">
        <v>2.032</v>
      </c>
      <c r="AB7" t="s">
        <v>143</v>
      </c>
      <c r="AC7" t="s">
        <v>143</v>
      </c>
      <c r="AD7" t="s">
        <v>143</v>
      </c>
    </row>
    <row r="8" spans="1:30" x14ac:dyDescent="0.2">
      <c r="A8" s="4" t="s">
        <v>153</v>
      </c>
      <c r="P8" s="5">
        <f>SUM(P2:P7)</f>
        <v>6.0000000000000001E-3</v>
      </c>
      <c r="Q8" s="5">
        <f>SUM(Q2:Q7)</f>
        <v>6.0000000000000005E-2</v>
      </c>
      <c r="W8" s="5">
        <f>SUM(W2:W7)</f>
        <v>56.747699999999995</v>
      </c>
      <c r="Y8" s="5">
        <f>SUMPRODUCT(W2:W7,Y2:Y7)/SUM(W2:W7)</f>
        <v>6.028494779347886</v>
      </c>
      <c r="Z8" s="5">
        <f>SUMPRODUCT(W2:W7,Z2:Z7)/SUM(W2:W7)</f>
        <v>7.8572417912972387E-4</v>
      </c>
      <c r="AA8" s="5">
        <f>SUMPRODUCT(W2:W7,AA2:AA7)/SUM(W2:W7)</f>
        <v>1.5299652773592585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pane ySplit="1" topLeftCell="A2" activePane="bottomLeft" state="frozen"/>
      <selection pane="bottomLeft"/>
    </sheetView>
  </sheetViews>
  <sheetFormatPr baseColWidth="10" defaultColWidth="8.83203125" defaultRowHeight="15" x14ac:dyDescent="0.2"/>
  <cols>
    <col min="1" max="1" width="58" customWidth="1"/>
    <col min="2" max="2" width="10" customWidth="1"/>
    <col min="3" max="3" width="14" customWidth="1"/>
    <col min="4" max="7" width="12" customWidth="1"/>
  </cols>
  <sheetData>
    <row r="1" spans="1:7" ht="16" x14ac:dyDescent="0.2">
      <c r="A1" s="1" t="s">
        <v>154</v>
      </c>
      <c r="B1" s="1" t="s">
        <v>23</v>
      </c>
      <c r="C1" s="1" t="s">
        <v>97</v>
      </c>
      <c r="D1" s="1" t="s">
        <v>75</v>
      </c>
      <c r="E1" s="1" t="s">
        <v>76</v>
      </c>
      <c r="F1" s="1" t="s">
        <v>77</v>
      </c>
      <c r="G1" s="1" t="s">
        <v>78</v>
      </c>
    </row>
    <row r="2" spans="1:7" x14ac:dyDescent="0.2">
      <c r="A2" s="22" t="s">
        <v>79</v>
      </c>
      <c r="B2" s="23">
        <v>6</v>
      </c>
      <c r="C2" s="24">
        <v>0.3</v>
      </c>
      <c r="D2" s="25">
        <v>56.747599999999998</v>
      </c>
      <c r="E2" s="25">
        <v>6.0285000000000002</v>
      </c>
      <c r="F2" s="25">
        <v>8.0000000000000004E-4</v>
      </c>
      <c r="G2" s="25">
        <v>1.53</v>
      </c>
    </row>
    <row r="4" spans="1:7" ht="16" x14ac:dyDescent="0.2">
      <c r="A4" s="1" t="s">
        <v>155</v>
      </c>
      <c r="B4" s="1" t="s">
        <v>16</v>
      </c>
      <c r="C4" s="1" t="s">
        <v>16</v>
      </c>
      <c r="D4" s="1" t="s">
        <v>75</v>
      </c>
      <c r="E4" s="1" t="s">
        <v>76</v>
      </c>
      <c r="F4" s="1" t="s">
        <v>77</v>
      </c>
      <c r="G4" s="1" t="s">
        <v>78</v>
      </c>
    </row>
    <row r="5" spans="1:7" x14ac:dyDescent="0.2">
      <c r="A5" t="s">
        <v>23</v>
      </c>
      <c r="D5" s="2">
        <v>56.747599999999998</v>
      </c>
      <c r="E5" s="2">
        <v>6.0285000000000002</v>
      </c>
      <c r="F5" s="2">
        <v>8.0000000000000004E-4</v>
      </c>
      <c r="G5" s="2">
        <v>1.53</v>
      </c>
    </row>
    <row r="6" spans="1:7" x14ac:dyDescent="0.2">
      <c r="A6" t="s">
        <v>37</v>
      </c>
      <c r="D6" s="2">
        <v>0</v>
      </c>
    </row>
    <row r="7" spans="1:7" x14ac:dyDescent="0.2">
      <c r="A7" s="4" t="s">
        <v>38</v>
      </c>
      <c r="D7" s="5">
        <f>D5+D6</f>
        <v>56.747599999999998</v>
      </c>
      <c r="E7" s="5">
        <f>(D5*E5+D6*E6)/D7</f>
        <v>6.0285000000000002</v>
      </c>
      <c r="F7" s="5">
        <f>(D5*F5+D6*F6)/D7</f>
        <v>8.0000000000000004E-4</v>
      </c>
      <c r="G7" s="5">
        <f>(D5*G5+D6*G6)/D7</f>
        <v>1.5300000000000002</v>
      </c>
    </row>
    <row r="8" spans="1:7" x14ac:dyDescent="0.2">
      <c r="A8" t="s">
        <v>156</v>
      </c>
      <c r="D8" s="2">
        <v>56.643999999999998</v>
      </c>
      <c r="E8" s="2">
        <v>6.1048</v>
      </c>
      <c r="F8" s="2">
        <v>0</v>
      </c>
      <c r="G8" s="2">
        <v>0.9869</v>
      </c>
    </row>
    <row r="9" spans="1:7" x14ac:dyDescent="0.2">
      <c r="A9" t="s">
        <v>157</v>
      </c>
      <c r="D9" s="2">
        <f>D8-D7</f>
        <v>-0.10360000000000014</v>
      </c>
    </row>
    <row r="10" spans="1:7" x14ac:dyDescent="0.2">
      <c r="A10" t="s">
        <v>158</v>
      </c>
      <c r="E10" s="2">
        <f>E7-E8</f>
        <v>-7.6299999999999812E-2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5"/>
  <sheetViews>
    <sheetView tabSelected="1" workbookViewId="0">
      <pane ySplit="1" topLeftCell="A2" activePane="bottomLeft" state="frozen"/>
      <selection pane="bottomLeft" activeCell="C13" sqref="C13"/>
    </sheetView>
  </sheetViews>
  <sheetFormatPr baseColWidth="10" defaultColWidth="8.83203125" defaultRowHeight="15" x14ac:dyDescent="0.2"/>
  <cols>
    <col min="1" max="1" width="46" customWidth="1"/>
    <col min="2" max="4" width="12" customWidth="1"/>
    <col min="5" max="5" width="14" customWidth="1"/>
    <col min="6" max="6" width="16" customWidth="1"/>
    <col min="7" max="10" width="9" customWidth="1"/>
    <col min="11" max="11" width="18" customWidth="1"/>
    <col min="12" max="12" width="12" customWidth="1"/>
    <col min="13" max="13" width="10" customWidth="1"/>
    <col min="14" max="15" width="12" customWidth="1"/>
  </cols>
  <sheetData>
    <row r="1" spans="1:15" ht="16" x14ac:dyDescent="0.2">
      <c r="A1" s="1" t="s">
        <v>159</v>
      </c>
      <c r="B1" s="1" t="s">
        <v>160</v>
      </c>
      <c r="C1" s="1" t="s">
        <v>161</v>
      </c>
      <c r="D1" s="1" t="s">
        <v>162</v>
      </c>
      <c r="E1" s="1" t="s">
        <v>74</v>
      </c>
      <c r="F1" s="1" t="s">
        <v>163</v>
      </c>
      <c r="G1" s="1" t="s">
        <v>164</v>
      </c>
      <c r="H1" s="1" t="s">
        <v>165</v>
      </c>
      <c r="I1" s="1" t="s">
        <v>166</v>
      </c>
      <c r="J1" s="1" t="s">
        <v>167</v>
      </c>
      <c r="K1" s="1" t="s">
        <v>168</v>
      </c>
      <c r="L1" s="1" t="s">
        <v>169</v>
      </c>
      <c r="M1" s="1" t="s">
        <v>170</v>
      </c>
      <c r="N1" s="1" t="s">
        <v>171</v>
      </c>
      <c r="O1" s="1" t="s">
        <v>172</v>
      </c>
    </row>
    <row r="2" spans="1:15" x14ac:dyDescent="0.2">
      <c r="A2" t="s">
        <v>173</v>
      </c>
      <c r="B2" s="2">
        <v>15.8249</v>
      </c>
      <c r="C2" s="2">
        <v>4.0384000000000002</v>
      </c>
      <c r="D2" s="2">
        <v>1.611</v>
      </c>
      <c r="E2" s="2">
        <v>56.643999999999998</v>
      </c>
      <c r="F2" s="2">
        <v>56.643999999999998</v>
      </c>
      <c r="G2" s="8">
        <v>0.55020000000000002</v>
      </c>
      <c r="H2" s="8">
        <v>0.72270000000000001</v>
      </c>
      <c r="I2" s="8">
        <v>0.76129999999999998</v>
      </c>
      <c r="J2" s="8">
        <v>0.81279999999999997</v>
      </c>
      <c r="K2" s="2">
        <v>51.9407</v>
      </c>
      <c r="L2" s="2">
        <v>6.1048</v>
      </c>
      <c r="M2" s="2">
        <v>0.9869</v>
      </c>
      <c r="N2" s="2">
        <v>6.8663999999999996</v>
      </c>
      <c r="O2" s="2">
        <v>0.51939999999999997</v>
      </c>
    </row>
    <row r="3" spans="1:15" x14ac:dyDescent="0.2">
      <c r="A3" s="4" t="s">
        <v>174</v>
      </c>
      <c r="E3" s="5">
        <v>56.643999999999998</v>
      </c>
      <c r="F3" s="5">
        <v>56.643999999999998</v>
      </c>
      <c r="K3" s="5">
        <v>51.9407</v>
      </c>
      <c r="L3" s="5">
        <v>6.1048</v>
      </c>
      <c r="M3" s="5">
        <v>0.9869</v>
      </c>
      <c r="N3" s="5">
        <v>6.8663999999999996</v>
      </c>
      <c r="O3" s="5">
        <v>0.51939999999999997</v>
      </c>
    </row>
    <row r="4" spans="1:15" x14ac:dyDescent="0.2">
      <c r="A4" s="4" t="s">
        <v>175</v>
      </c>
      <c r="M4" s="2">
        <v>0</v>
      </c>
    </row>
    <row r="6" spans="1:15" ht="16" x14ac:dyDescent="0.2">
      <c r="A6" s="1" t="s">
        <v>176</v>
      </c>
      <c r="B6" s="1" t="s">
        <v>21</v>
      </c>
    </row>
    <row r="7" spans="1:15" x14ac:dyDescent="0.2">
      <c r="A7" t="s">
        <v>177</v>
      </c>
      <c r="B7" s="2">
        <v>56.747599999999998</v>
      </c>
    </row>
    <row r="8" spans="1:15" x14ac:dyDescent="0.2">
      <c r="A8" t="s">
        <v>178</v>
      </c>
      <c r="B8" s="2">
        <v>1.6126</v>
      </c>
    </row>
    <row r="9" spans="1:15" x14ac:dyDescent="0.2">
      <c r="A9" t="s">
        <v>179</v>
      </c>
      <c r="B9" s="2">
        <v>1.611</v>
      </c>
    </row>
    <row r="10" spans="1:15" x14ac:dyDescent="0.2">
      <c r="A10" t="s">
        <v>180</v>
      </c>
      <c r="B10" s="2">
        <v>9.6600000000000005E-2</v>
      </c>
    </row>
    <row r="11" spans="1:15" x14ac:dyDescent="0.2">
      <c r="A11" t="s">
        <v>181</v>
      </c>
      <c r="B11" s="2">
        <v>0.30259999999999998</v>
      </c>
    </row>
    <row r="12" spans="1:15" x14ac:dyDescent="0.2">
      <c r="A12" t="s">
        <v>182</v>
      </c>
      <c r="B12" s="2">
        <v>1.6487000000000001</v>
      </c>
    </row>
    <row r="13" spans="1:15" x14ac:dyDescent="0.2">
      <c r="A13" t="s">
        <v>183</v>
      </c>
      <c r="B13" s="2">
        <v>1.5521</v>
      </c>
    </row>
    <row r="14" spans="1:15" x14ac:dyDescent="0.2">
      <c r="A14" t="s">
        <v>184</v>
      </c>
      <c r="B14" s="2">
        <v>9.9099999999999994E-2</v>
      </c>
    </row>
    <row r="15" spans="1:15" x14ac:dyDescent="0.2">
      <c r="A15" t="s">
        <v>185</v>
      </c>
      <c r="B15" s="2">
        <v>1.6059000000000001</v>
      </c>
    </row>
    <row r="16" spans="1:15" x14ac:dyDescent="0.2">
      <c r="A16" t="s">
        <v>186</v>
      </c>
      <c r="B16" s="2">
        <v>1.5949</v>
      </c>
    </row>
    <row r="18" spans="1:9" ht="16" x14ac:dyDescent="0.2">
      <c r="A18" s="1" t="s">
        <v>187</v>
      </c>
      <c r="B18" s="1" t="s">
        <v>21</v>
      </c>
    </row>
    <row r="19" spans="1:9" x14ac:dyDescent="0.2">
      <c r="A19" t="s">
        <v>188</v>
      </c>
      <c r="B19" s="2">
        <v>1.6126</v>
      </c>
    </row>
    <row r="20" spans="1:9" x14ac:dyDescent="0.2">
      <c r="A20" t="s">
        <v>170</v>
      </c>
      <c r="B20" s="2">
        <v>0.98780000000000001</v>
      </c>
    </row>
    <row r="21" spans="1:9" x14ac:dyDescent="0.2">
      <c r="A21" t="s">
        <v>189</v>
      </c>
      <c r="B21" s="2">
        <v>1.0011000000000001</v>
      </c>
    </row>
    <row r="22" spans="1:9" x14ac:dyDescent="0.2">
      <c r="A22" t="s">
        <v>190</v>
      </c>
      <c r="B22" s="2">
        <v>1.9888999999999999</v>
      </c>
    </row>
    <row r="23" spans="1:9" x14ac:dyDescent="0.2">
      <c r="A23" t="s">
        <v>191</v>
      </c>
      <c r="B23" s="2">
        <v>1.53</v>
      </c>
    </row>
    <row r="24" spans="1:9" x14ac:dyDescent="0.2">
      <c r="A24" t="s">
        <v>192</v>
      </c>
      <c r="B24" s="2">
        <v>0.45889999999999997</v>
      </c>
    </row>
    <row r="25" spans="1:9" x14ac:dyDescent="0.2">
      <c r="A25" t="s">
        <v>193</v>
      </c>
      <c r="B25" s="8">
        <v>0</v>
      </c>
    </row>
    <row r="26" spans="1:9" x14ac:dyDescent="0.2">
      <c r="A26" s="4" t="s">
        <v>194</v>
      </c>
      <c r="B26" s="5">
        <v>0.45889999999999997</v>
      </c>
    </row>
    <row r="27" spans="1:9" x14ac:dyDescent="0.2">
      <c r="A27" t="s">
        <v>195</v>
      </c>
      <c r="B27" s="2">
        <v>1.8389</v>
      </c>
    </row>
    <row r="28" spans="1:9" x14ac:dyDescent="0.2">
      <c r="A28" t="s">
        <v>196</v>
      </c>
      <c r="B28" s="3">
        <v>15.1539</v>
      </c>
    </row>
    <row r="29" spans="1:9" x14ac:dyDescent="0.2">
      <c r="A29" t="s">
        <v>197</v>
      </c>
      <c r="B29" s="3">
        <v>16.1417</v>
      </c>
    </row>
    <row r="30" spans="1:9" x14ac:dyDescent="0.2">
      <c r="A30" t="s">
        <v>198</v>
      </c>
      <c r="B30" s="3">
        <v>14.611800000000001</v>
      </c>
    </row>
    <row r="32" spans="1:9" ht="48" x14ac:dyDescent="0.2">
      <c r="A32" s="1" t="s">
        <v>199</v>
      </c>
      <c r="B32" s="1" t="s">
        <v>200</v>
      </c>
      <c r="C32" s="1" t="s">
        <v>124</v>
      </c>
      <c r="D32" s="1" t="s">
        <v>125</v>
      </c>
      <c r="E32" s="1" t="s">
        <v>201</v>
      </c>
      <c r="F32" s="1" t="s">
        <v>162</v>
      </c>
      <c r="G32" s="1" t="s">
        <v>202</v>
      </c>
      <c r="H32" s="1" t="s">
        <v>203</v>
      </c>
      <c r="I32" s="1" t="s">
        <v>204</v>
      </c>
    </row>
    <row r="33" spans="1:9" x14ac:dyDescent="0.2">
      <c r="A33" t="s">
        <v>173</v>
      </c>
      <c r="B33" t="s">
        <v>205</v>
      </c>
      <c r="C33" s="2">
        <v>18.288</v>
      </c>
      <c r="D33" s="2">
        <v>6.3254999999999999</v>
      </c>
      <c r="E33" s="2">
        <v>3.048</v>
      </c>
      <c r="F33" s="2">
        <v>1.611</v>
      </c>
      <c r="G33" s="2">
        <v>0</v>
      </c>
      <c r="H33" s="2">
        <v>154.8603</v>
      </c>
      <c r="I33" s="2">
        <v>56.643999999999998</v>
      </c>
    </row>
    <row r="34" spans="1:9" x14ac:dyDescent="0.2">
      <c r="A34" s="4" t="s">
        <v>206</v>
      </c>
      <c r="H34" s="2">
        <v>6.0000000000000001E-3</v>
      </c>
    </row>
    <row r="35" spans="1:9" x14ac:dyDescent="0.2">
      <c r="A35" s="4" t="s">
        <v>207</v>
      </c>
      <c r="H35" s="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6"/>
  <sheetViews>
    <sheetView workbookViewId="0"/>
  </sheetViews>
  <sheetFormatPr baseColWidth="10" defaultColWidth="8.83203125" defaultRowHeight="15" x14ac:dyDescent="0.2"/>
  <cols>
    <col min="1" max="1" width="44" customWidth="1"/>
    <col min="2" max="2" width="22" customWidth="1"/>
    <col min="3" max="4" width="12" customWidth="1"/>
    <col min="5" max="5" width="24" customWidth="1"/>
    <col min="6" max="6" width="12" customWidth="1"/>
  </cols>
  <sheetData>
    <row r="1" spans="1:6" x14ac:dyDescent="0.2">
      <c r="A1" s="4" t="s">
        <v>208</v>
      </c>
    </row>
    <row r="2" spans="1:6" x14ac:dyDescent="0.2">
      <c r="A2" t="s">
        <v>209</v>
      </c>
    </row>
    <row r="3" spans="1:6" x14ac:dyDescent="0.2">
      <c r="A3" t="s">
        <v>210</v>
      </c>
    </row>
    <row r="5" spans="1:6" ht="16" x14ac:dyDescent="0.2">
      <c r="A5" s="1" t="s">
        <v>211</v>
      </c>
      <c r="B5" s="1" t="s">
        <v>212</v>
      </c>
      <c r="C5" s="1" t="s">
        <v>213</v>
      </c>
      <c r="D5" s="1" t="s">
        <v>214</v>
      </c>
      <c r="E5" s="1" t="s">
        <v>215</v>
      </c>
      <c r="F5" s="1" t="s">
        <v>216</v>
      </c>
    </row>
    <row r="6" spans="1:6" x14ac:dyDescent="0.2">
      <c r="A6" s="3">
        <v>0</v>
      </c>
      <c r="B6" s="2">
        <v>1.5995999999999999</v>
      </c>
      <c r="C6" s="2">
        <v>-9.4500000000000001E-2</v>
      </c>
      <c r="D6" s="8">
        <v>0</v>
      </c>
      <c r="E6" s="8">
        <v>1.53</v>
      </c>
      <c r="F6" s="5">
        <f t="shared" ref="F6:F12" si="0">D6-E6*SIN(RADIANS(A6))</f>
        <v>0</v>
      </c>
    </row>
    <row r="7" spans="1:6" x14ac:dyDescent="0.2">
      <c r="A7" s="3">
        <v>5</v>
      </c>
      <c r="B7" s="2">
        <v>1.5971</v>
      </c>
      <c r="C7" s="2">
        <v>-9.2600000000000002E-2</v>
      </c>
      <c r="D7" s="8">
        <v>0.1731</v>
      </c>
      <c r="E7" s="8">
        <v>1.53</v>
      </c>
      <c r="F7" s="5">
        <f t="shared" si="0"/>
        <v>3.975171359608301E-2</v>
      </c>
    </row>
    <row r="8" spans="1:6" x14ac:dyDescent="0.2">
      <c r="A8" s="3">
        <v>10</v>
      </c>
      <c r="B8" s="2">
        <v>1.589</v>
      </c>
      <c r="C8" s="2">
        <v>-9.1200000000000003E-2</v>
      </c>
      <c r="D8" s="8">
        <v>0.34899999999999998</v>
      </c>
      <c r="E8" s="8">
        <v>1.53</v>
      </c>
      <c r="F8" s="5">
        <f t="shared" si="0"/>
        <v>8.3318288169596577E-2</v>
      </c>
    </row>
    <row r="9" spans="1:6" x14ac:dyDescent="0.2">
      <c r="A9" s="3">
        <v>15</v>
      </c>
      <c r="B9" s="2">
        <v>1.5744</v>
      </c>
      <c r="C9" s="2">
        <v>-8.7400000000000005E-2</v>
      </c>
      <c r="D9" s="8">
        <v>0.53010000000000002</v>
      </c>
      <c r="E9" s="8">
        <v>1.53</v>
      </c>
      <c r="F9" s="5">
        <f t="shared" si="0"/>
        <v>0.13410686099314328</v>
      </c>
    </row>
    <row r="10" spans="1:6" x14ac:dyDescent="0.2">
      <c r="A10" s="3">
        <v>20</v>
      </c>
      <c r="B10" s="2">
        <v>1.5508</v>
      </c>
      <c r="C10" s="2">
        <v>-7.9500000000000001E-2</v>
      </c>
      <c r="D10" s="8">
        <v>0.72519999999999996</v>
      </c>
      <c r="E10" s="8">
        <v>1.53</v>
      </c>
      <c r="F10" s="5">
        <f t="shared" si="0"/>
        <v>0.20190918071172681</v>
      </c>
    </row>
    <row r="11" spans="1:6" x14ac:dyDescent="0.2">
      <c r="A11" s="3">
        <v>25</v>
      </c>
      <c r="B11" s="2">
        <v>1.5123</v>
      </c>
      <c r="C11" s="2">
        <v>-6.7100000000000007E-2</v>
      </c>
      <c r="D11" s="8">
        <v>0.94379999999999997</v>
      </c>
      <c r="E11" s="8">
        <v>1.53</v>
      </c>
      <c r="F11" s="5">
        <f t="shared" si="0"/>
        <v>0.29719405953672984</v>
      </c>
    </row>
    <row r="12" spans="1:6" x14ac:dyDescent="0.2">
      <c r="A12" s="3">
        <v>25.9</v>
      </c>
      <c r="B12" s="2">
        <v>1.5017</v>
      </c>
      <c r="C12" s="2">
        <v>-6.4000000000000001E-2</v>
      </c>
      <c r="D12" s="8">
        <v>0.98829999999999996</v>
      </c>
      <c r="E12" s="8">
        <v>1.53</v>
      </c>
      <c r="F12" s="5">
        <f t="shared" si="0"/>
        <v>0.31999326379741566</v>
      </c>
    </row>
    <row r="14" spans="1:6" ht="16" x14ac:dyDescent="0.2">
      <c r="A14" s="1" t="s">
        <v>3</v>
      </c>
      <c r="B14" s="1" t="s">
        <v>21</v>
      </c>
      <c r="C14" s="1" t="s">
        <v>22</v>
      </c>
    </row>
    <row r="15" spans="1:6" x14ac:dyDescent="0.2">
      <c r="A15" t="s">
        <v>65</v>
      </c>
      <c r="B15" s="2">
        <v>0.32</v>
      </c>
      <c r="C15" t="s">
        <v>25</v>
      </c>
    </row>
    <row r="16" spans="1:6" x14ac:dyDescent="0.2">
      <c r="A16" t="s">
        <v>66</v>
      </c>
      <c r="B16" s="3">
        <v>25.9</v>
      </c>
      <c r="C16" t="s">
        <v>56</v>
      </c>
    </row>
    <row r="17" spans="1:4" x14ac:dyDescent="0.2">
      <c r="A17" t="s">
        <v>217</v>
      </c>
      <c r="B17" t="s">
        <v>218</v>
      </c>
      <c r="C17" t="s">
        <v>56</v>
      </c>
    </row>
    <row r="18" spans="1:4" x14ac:dyDescent="0.2">
      <c r="A18" t="s">
        <v>67</v>
      </c>
      <c r="B18" s="3">
        <v>25.9</v>
      </c>
      <c r="C18" t="s">
        <v>56</v>
      </c>
    </row>
    <row r="20" spans="1:4" ht="16" x14ac:dyDescent="0.2">
      <c r="A20" s="1" t="s">
        <v>219</v>
      </c>
      <c r="B20" s="1" t="s">
        <v>220</v>
      </c>
      <c r="C20" s="1" t="s">
        <v>21</v>
      </c>
      <c r="D20" s="1" t="s">
        <v>3</v>
      </c>
    </row>
    <row r="21" spans="1:4" x14ac:dyDescent="0.2">
      <c r="A21" t="s">
        <v>221</v>
      </c>
      <c r="B21" s="8">
        <v>5.5E-2</v>
      </c>
      <c r="C21" s="8">
        <v>5.79E-2</v>
      </c>
      <c r="D21" s="11" t="s">
        <v>222</v>
      </c>
    </row>
    <row r="22" spans="1:4" x14ac:dyDescent="0.2">
      <c r="A22" t="s">
        <v>223</v>
      </c>
      <c r="B22" s="8">
        <v>0.09</v>
      </c>
      <c r="C22" s="8">
        <v>5.79E-2</v>
      </c>
      <c r="D22" s="26" t="s">
        <v>224</v>
      </c>
    </row>
    <row r="23" spans="1:4" x14ac:dyDescent="0.2">
      <c r="A23" t="s">
        <v>225</v>
      </c>
      <c r="B23" s="8">
        <v>0.03</v>
      </c>
      <c r="C23" s="8">
        <v>0</v>
      </c>
      <c r="D23" s="26" t="s">
        <v>226</v>
      </c>
    </row>
    <row r="24" spans="1:4" x14ac:dyDescent="0.2">
      <c r="A24" t="s">
        <v>227</v>
      </c>
      <c r="B24" s="8">
        <v>0.2</v>
      </c>
      <c r="D24" s="26" t="s">
        <v>226</v>
      </c>
    </row>
    <row r="25" spans="1:4" x14ac:dyDescent="0.2">
      <c r="A25" t="s">
        <v>228</v>
      </c>
      <c r="B25" s="8">
        <v>25</v>
      </c>
      <c r="C25" s="8">
        <v>25.9</v>
      </c>
      <c r="D25" s="11" t="s">
        <v>69</v>
      </c>
    </row>
    <row r="26" spans="1:4" x14ac:dyDescent="0.2">
      <c r="A26" t="s">
        <v>229</v>
      </c>
      <c r="B26" s="8">
        <v>0.15</v>
      </c>
      <c r="C26" s="8">
        <v>0.45889999999999997</v>
      </c>
      <c r="D26" s="11" t="s">
        <v>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5"/>
  <sheetViews>
    <sheetView workbookViewId="0"/>
  </sheetViews>
  <sheetFormatPr baseColWidth="10" defaultColWidth="8.83203125" defaultRowHeight="15" x14ac:dyDescent="0.2"/>
  <cols>
    <col min="1" max="1" width="46" customWidth="1"/>
    <col min="2" max="2" width="16" customWidth="1"/>
    <col min="3" max="3" width="22" customWidth="1"/>
  </cols>
  <sheetData>
    <row r="1" spans="1:3" x14ac:dyDescent="0.2">
      <c r="A1" s="4" t="s">
        <v>230</v>
      </c>
    </row>
    <row r="2" spans="1:3" x14ac:dyDescent="0.2">
      <c r="A2" t="s">
        <v>231</v>
      </c>
    </row>
    <row r="4" spans="1:3" ht="16" x14ac:dyDescent="0.2">
      <c r="A4" s="1" t="s">
        <v>173</v>
      </c>
      <c r="B4" s="1" t="s">
        <v>21</v>
      </c>
      <c r="C4" s="1" t="s">
        <v>22</v>
      </c>
    </row>
    <row r="5" spans="1:3" x14ac:dyDescent="0.2">
      <c r="A5" t="s">
        <v>232</v>
      </c>
      <c r="B5" s="2">
        <v>1.611</v>
      </c>
      <c r="C5" t="s">
        <v>25</v>
      </c>
    </row>
    <row r="6" spans="1:3" x14ac:dyDescent="0.2">
      <c r="A6" t="s">
        <v>233</v>
      </c>
      <c r="B6" s="2">
        <v>15.8249</v>
      </c>
      <c r="C6" t="s">
        <v>25</v>
      </c>
    </row>
    <row r="7" spans="1:3" x14ac:dyDescent="0.2">
      <c r="A7" t="s">
        <v>234</v>
      </c>
      <c r="B7" s="2">
        <v>4.0384000000000002</v>
      </c>
      <c r="C7" t="s">
        <v>25</v>
      </c>
    </row>
    <row r="8" spans="1:3" x14ac:dyDescent="0.2">
      <c r="A8" t="s">
        <v>164</v>
      </c>
      <c r="B8" s="8">
        <v>0.55020000000000002</v>
      </c>
    </row>
    <row r="9" spans="1:3" x14ac:dyDescent="0.2">
      <c r="A9" t="s">
        <v>166</v>
      </c>
      <c r="B9" s="8">
        <v>0.76129999999999998</v>
      </c>
    </row>
    <row r="10" spans="1:3" x14ac:dyDescent="0.2">
      <c r="A10" t="s">
        <v>165</v>
      </c>
      <c r="B10" s="8">
        <f>B8/B9</f>
        <v>0.72271115197688174</v>
      </c>
      <c r="C10" t="s">
        <v>235</v>
      </c>
    </row>
    <row r="11" spans="1:3" x14ac:dyDescent="0.2">
      <c r="A11" t="s">
        <v>167</v>
      </c>
      <c r="B11" s="8">
        <v>0.81279999999999997</v>
      </c>
    </row>
    <row r="12" spans="1:3" x14ac:dyDescent="0.2">
      <c r="A12" t="s">
        <v>236</v>
      </c>
      <c r="B12" s="2">
        <v>-11.422800000000001</v>
      </c>
      <c r="C12" t="s">
        <v>237</v>
      </c>
    </row>
    <row r="13" spans="1:3" x14ac:dyDescent="0.2">
      <c r="A13" t="s">
        <v>238</v>
      </c>
      <c r="B13" t="s">
        <v>239</v>
      </c>
    </row>
    <row r="14" spans="1:3" x14ac:dyDescent="0.2">
      <c r="A14" t="s">
        <v>240</v>
      </c>
      <c r="B14" t="s">
        <v>142</v>
      </c>
    </row>
    <row r="15" spans="1:3" x14ac:dyDescent="0.2">
      <c r="A15" t="s">
        <v>241</v>
      </c>
      <c r="B15" t="s">
        <v>143</v>
      </c>
    </row>
    <row r="16" spans="1:3" x14ac:dyDescent="0.2">
      <c r="A16" t="s">
        <v>242</v>
      </c>
      <c r="B16" s="3">
        <v>5</v>
      </c>
      <c r="C16" t="s">
        <v>243</v>
      </c>
    </row>
    <row r="17" spans="1:3" x14ac:dyDescent="0.2">
      <c r="A17" t="s">
        <v>244</v>
      </c>
      <c r="B17" s="8">
        <f>B16*0.514444/SQRT(9.81*B6)</f>
        <v>0.20644440624669855</v>
      </c>
    </row>
    <row r="19" spans="1:3" ht="16" x14ac:dyDescent="0.2">
      <c r="A19" s="1" t="s">
        <v>245</v>
      </c>
      <c r="B19" s="1" t="s">
        <v>246</v>
      </c>
    </row>
    <row r="20" spans="1:3" x14ac:dyDescent="0.2">
      <c r="A20" t="s">
        <v>247</v>
      </c>
      <c r="B20" s="3">
        <v>0.64119999999999999</v>
      </c>
    </row>
    <row r="21" spans="1:3" x14ac:dyDescent="0.2">
      <c r="A21" t="s">
        <v>248</v>
      </c>
      <c r="B21" s="3">
        <v>0.25819999999999999</v>
      </c>
    </row>
    <row r="22" spans="1:3" x14ac:dyDescent="0.2">
      <c r="A22" t="s">
        <v>249</v>
      </c>
      <c r="B22" s="3">
        <v>0</v>
      </c>
    </row>
    <row r="23" spans="1:3" x14ac:dyDescent="0.2">
      <c r="A23" t="s">
        <v>250</v>
      </c>
      <c r="B23" s="3">
        <v>0.1278</v>
      </c>
    </row>
    <row r="24" spans="1:3" x14ac:dyDescent="0.2">
      <c r="A24" t="s">
        <v>251</v>
      </c>
      <c r="B24" s="3">
        <v>0</v>
      </c>
    </row>
    <row r="25" spans="1:3" x14ac:dyDescent="0.2">
      <c r="A25" t="s">
        <v>252</v>
      </c>
      <c r="B25" s="3">
        <v>0.15</v>
      </c>
    </row>
    <row r="26" spans="1:3" x14ac:dyDescent="0.2">
      <c r="A26" t="s">
        <v>253</v>
      </c>
      <c r="B26" s="3">
        <v>0.1799</v>
      </c>
    </row>
    <row r="27" spans="1:3" x14ac:dyDescent="0.2">
      <c r="A27" s="4" t="s">
        <v>153</v>
      </c>
      <c r="B27" s="9">
        <f>SUM(B20:B26)</f>
        <v>1.3570999999999998</v>
      </c>
    </row>
    <row r="29" spans="1:3" ht="16" x14ac:dyDescent="0.2">
      <c r="A29" s="1" t="s">
        <v>254</v>
      </c>
      <c r="B29" s="1" t="s">
        <v>244</v>
      </c>
      <c r="C29" s="1" t="s">
        <v>255</v>
      </c>
    </row>
    <row r="30" spans="1:3" x14ac:dyDescent="0.2">
      <c r="A30" s="3">
        <v>0</v>
      </c>
      <c r="B30" s="8">
        <f>A30*0.514444/SQRT(9.81*B6)</f>
        <v>0</v>
      </c>
      <c r="C30" s="3">
        <v>0</v>
      </c>
    </row>
    <row r="31" spans="1:3" x14ac:dyDescent="0.2">
      <c r="A31" s="3">
        <v>0.72660000000000002</v>
      </c>
      <c r="B31" s="8">
        <f>A31*0.514444/SQRT(9.81*B6)</f>
        <v>3.0000501115770233E-2</v>
      </c>
      <c r="C31" s="3">
        <v>3.5900000000000001E-2</v>
      </c>
    </row>
    <row r="32" spans="1:3" x14ac:dyDescent="0.2">
      <c r="A32" s="3">
        <v>1.4532</v>
      </c>
      <c r="B32" s="8">
        <f>A32*0.514444/SQRT(9.81*B6)</f>
        <v>6.0001002231540465E-2</v>
      </c>
      <c r="C32" s="3">
        <v>0.12939999999999999</v>
      </c>
    </row>
    <row r="33" spans="1:3" x14ac:dyDescent="0.2">
      <c r="A33" s="3">
        <v>2.1798000000000002</v>
      </c>
      <c r="B33" s="8">
        <f>A33*0.514444/SQRT(9.81*B6)</f>
        <v>9.0001503347310705E-2</v>
      </c>
      <c r="C33" s="3">
        <v>0.2732</v>
      </c>
    </row>
    <row r="34" spans="1:3" x14ac:dyDescent="0.2">
      <c r="A34" s="3">
        <v>2.9064000000000001</v>
      </c>
      <c r="B34" s="8">
        <f>A34*0.514444/SQRT(9.81*B6)</f>
        <v>0.12000200446308093</v>
      </c>
      <c r="C34" s="3">
        <v>0.46279999999999999</v>
      </c>
    </row>
    <row r="35" spans="1:3" x14ac:dyDescent="0.2">
      <c r="A35" s="3">
        <v>3.6328999999999998</v>
      </c>
      <c r="B35" s="8">
        <f>A35*0.514444/SQRT(9.81*B6)</f>
        <v>0.14999837669072622</v>
      </c>
      <c r="C35" s="3">
        <v>0.69669999999999999</v>
      </c>
    </row>
    <row r="36" spans="1:3" x14ac:dyDescent="0.2">
      <c r="A36" s="3">
        <v>4.3594999999999997</v>
      </c>
      <c r="B36" s="8">
        <f>A36*0.514444/SQRT(9.81*B6)</f>
        <v>0.17999887780649645</v>
      </c>
      <c r="C36" s="3">
        <v>0.99180000000000001</v>
      </c>
    </row>
    <row r="37" spans="1:3" x14ac:dyDescent="0.2">
      <c r="A37" s="3">
        <v>5.0861000000000001</v>
      </c>
      <c r="B37" s="8">
        <f>A37*0.514444/SQRT(9.81*B6)</f>
        <v>0.20999937892226667</v>
      </c>
      <c r="C37" s="3">
        <v>1.419</v>
      </c>
    </row>
    <row r="38" spans="1:3" x14ac:dyDescent="0.2">
      <c r="A38" s="3">
        <v>5.8127000000000004</v>
      </c>
      <c r="B38" s="8">
        <f>A38*0.514444/SQRT(9.81*B6)</f>
        <v>0.23999988003803693</v>
      </c>
      <c r="C38" s="3">
        <v>2.1486999999999998</v>
      </c>
    </row>
    <row r="39" spans="1:3" x14ac:dyDescent="0.2">
      <c r="A39" s="3">
        <v>6.5392999999999999</v>
      </c>
      <c r="B39" s="8">
        <f>A39*0.514444/SQRT(9.81*B6)</f>
        <v>0.27000038115380715</v>
      </c>
      <c r="C39" s="3">
        <v>3.3479999999999999</v>
      </c>
    </row>
    <row r="40" spans="1:3" x14ac:dyDescent="0.2">
      <c r="A40" s="3">
        <v>7.2659000000000002</v>
      </c>
      <c r="B40" s="8">
        <f>A40*0.514444/SQRT(9.81*B6)</f>
        <v>0.30000088226957738</v>
      </c>
      <c r="C40" s="3">
        <v>5.8654000000000002</v>
      </c>
    </row>
    <row r="41" spans="1:3" x14ac:dyDescent="0.2">
      <c r="A41" s="3">
        <v>7.9924999999999997</v>
      </c>
      <c r="B41" s="8">
        <f>A41*0.514444/SQRT(9.81*B6)</f>
        <v>0.33000138338534762</v>
      </c>
      <c r="C41" s="3">
        <v>9.8849</v>
      </c>
    </row>
    <row r="42" spans="1:3" x14ac:dyDescent="0.2">
      <c r="A42" s="3">
        <v>8.7190999999999992</v>
      </c>
      <c r="B42" s="8">
        <f>A42*0.514444/SQRT(9.81*B6)</f>
        <v>0.36000188450111781</v>
      </c>
      <c r="C42" s="3">
        <v>12.654400000000001</v>
      </c>
    </row>
    <row r="43" spans="1:3" x14ac:dyDescent="0.2">
      <c r="A43" s="3">
        <v>9.4456000000000007</v>
      </c>
      <c r="B43" s="8">
        <f>A43*0.514444/SQRT(9.81*B6)</f>
        <v>0.38999825672876315</v>
      </c>
      <c r="C43" s="3">
        <v>16.773900000000001</v>
      </c>
    </row>
    <row r="44" spans="1:3" x14ac:dyDescent="0.2">
      <c r="A44" s="3">
        <v>10.1722</v>
      </c>
      <c r="B44" s="8">
        <f>A44*0.514444/SQRT(9.81*B6)</f>
        <v>0.41999875784453333</v>
      </c>
      <c r="C44" s="3">
        <v>23.782</v>
      </c>
    </row>
    <row r="45" spans="1:3" x14ac:dyDescent="0.2">
      <c r="A45" s="3">
        <v>10.8988</v>
      </c>
      <c r="B45" s="8">
        <f>A45*0.514444/SQRT(9.81*B6)</f>
        <v>0.44999925896030363</v>
      </c>
      <c r="C45" s="3">
        <v>30.764299999999999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0"/>
  <sheetViews>
    <sheetView workbookViewId="0"/>
  </sheetViews>
  <sheetFormatPr baseColWidth="10" defaultColWidth="8.83203125" defaultRowHeight="15" x14ac:dyDescent="0.2"/>
  <cols>
    <col min="1" max="1" width="46" customWidth="1"/>
    <col min="2" max="2" width="16" customWidth="1"/>
    <col min="3" max="3" width="22" customWidth="1"/>
    <col min="4" max="4" width="26" customWidth="1"/>
    <col min="5" max="6" width="14" customWidth="1"/>
    <col min="7" max="7" width="24" customWidth="1"/>
    <col min="8" max="8" width="12" customWidth="1"/>
  </cols>
  <sheetData>
    <row r="1" spans="1:3" x14ac:dyDescent="0.2">
      <c r="A1" s="4" t="s">
        <v>256</v>
      </c>
    </row>
    <row r="2" spans="1:3" x14ac:dyDescent="0.2">
      <c r="A2" t="s">
        <v>257</v>
      </c>
    </row>
    <row r="4" spans="1:3" ht="16" x14ac:dyDescent="0.2">
      <c r="A4" s="1" t="s">
        <v>173</v>
      </c>
      <c r="B4" s="1" t="s">
        <v>21</v>
      </c>
      <c r="C4" s="1" t="s">
        <v>22</v>
      </c>
    </row>
    <row r="5" spans="1:3" x14ac:dyDescent="0.2">
      <c r="A5" t="s">
        <v>258</v>
      </c>
      <c r="B5" s="2">
        <v>15.8249</v>
      </c>
      <c r="C5" t="s">
        <v>25</v>
      </c>
    </row>
    <row r="6" spans="1:3" x14ac:dyDescent="0.2">
      <c r="A6" t="s">
        <v>259</v>
      </c>
      <c r="B6" s="2">
        <v>4.0384000000000002</v>
      </c>
      <c r="C6" t="s">
        <v>25</v>
      </c>
    </row>
    <row r="7" spans="1:3" x14ac:dyDescent="0.2">
      <c r="A7" t="s">
        <v>232</v>
      </c>
      <c r="B7" s="2">
        <v>1.611</v>
      </c>
      <c r="C7" t="s">
        <v>25</v>
      </c>
    </row>
    <row r="8" spans="1:3" x14ac:dyDescent="0.2">
      <c r="A8" t="s">
        <v>164</v>
      </c>
      <c r="B8" s="8">
        <v>0.55020000000000002</v>
      </c>
    </row>
    <row r="9" spans="1:3" x14ac:dyDescent="0.2">
      <c r="A9" t="s">
        <v>167</v>
      </c>
      <c r="B9" s="8">
        <v>0.81279999999999997</v>
      </c>
    </row>
    <row r="10" spans="1:3" x14ac:dyDescent="0.2">
      <c r="A10" t="s">
        <v>260</v>
      </c>
      <c r="B10" s="2">
        <v>0.45889999999999997</v>
      </c>
      <c r="C10" t="s">
        <v>25</v>
      </c>
    </row>
    <row r="11" spans="1:3" x14ac:dyDescent="0.2">
      <c r="A11" t="s">
        <v>261</v>
      </c>
      <c r="B11" s="3">
        <v>5.0999999999999996</v>
      </c>
      <c r="C11" t="s">
        <v>262</v>
      </c>
    </row>
    <row r="12" spans="1:3" x14ac:dyDescent="0.2">
      <c r="A12" t="s">
        <v>263</v>
      </c>
      <c r="B12">
        <v>20</v>
      </c>
      <c r="C12" t="s">
        <v>264</v>
      </c>
    </row>
    <row r="13" spans="1:3" x14ac:dyDescent="0.2">
      <c r="A13" t="s">
        <v>265</v>
      </c>
      <c r="B13" s="2">
        <v>0.6</v>
      </c>
    </row>
    <row r="14" spans="1:3" x14ac:dyDescent="0.2">
      <c r="A14" t="s">
        <v>266</v>
      </c>
      <c r="B14" s="3">
        <v>5</v>
      </c>
      <c r="C14" t="s">
        <v>243</v>
      </c>
    </row>
    <row r="15" spans="1:3" x14ac:dyDescent="0.2">
      <c r="A15" t="s">
        <v>244</v>
      </c>
      <c r="B15" s="8">
        <v>0.2064</v>
      </c>
    </row>
    <row r="16" spans="1:3" x14ac:dyDescent="0.2">
      <c r="A16" t="s">
        <v>267</v>
      </c>
      <c r="B16">
        <v>150</v>
      </c>
      <c r="C16" t="s">
        <v>268</v>
      </c>
    </row>
    <row r="17" spans="1:7" x14ac:dyDescent="0.2">
      <c r="A17" t="s">
        <v>269</v>
      </c>
      <c r="B17" s="2">
        <v>1</v>
      </c>
      <c r="C17" t="s">
        <v>25</v>
      </c>
    </row>
    <row r="18" spans="1:7" x14ac:dyDescent="0.2">
      <c r="A18" t="s">
        <v>270</v>
      </c>
      <c r="B18">
        <v>100</v>
      </c>
      <c r="C18" t="s">
        <v>271</v>
      </c>
    </row>
    <row r="19" spans="1:7" x14ac:dyDescent="0.2">
      <c r="A19" s="4" t="s">
        <v>272</v>
      </c>
    </row>
    <row r="21" spans="1:7" ht="16" x14ac:dyDescent="0.2">
      <c r="A21" s="1" t="s">
        <v>273</v>
      </c>
      <c r="B21" s="1" t="s">
        <v>21</v>
      </c>
      <c r="C21" s="1" t="s">
        <v>22</v>
      </c>
    </row>
    <row r="22" spans="1:7" x14ac:dyDescent="0.2">
      <c r="A22" t="s">
        <v>274</v>
      </c>
      <c r="B22" s="2">
        <v>3</v>
      </c>
      <c r="C22" t="s">
        <v>25</v>
      </c>
    </row>
    <row r="23" spans="1:7" x14ac:dyDescent="0.2">
      <c r="A23" t="s">
        <v>275</v>
      </c>
      <c r="B23" t="s">
        <v>276</v>
      </c>
    </row>
    <row r="24" spans="1:7" x14ac:dyDescent="0.2">
      <c r="A24" t="s">
        <v>277</v>
      </c>
      <c r="B24" s="3">
        <v>3.3</v>
      </c>
    </row>
    <row r="25" spans="1:7" x14ac:dyDescent="0.2">
      <c r="A25" t="s">
        <v>278</v>
      </c>
      <c r="B25" s="2">
        <v>8</v>
      </c>
      <c r="C25" t="s">
        <v>262</v>
      </c>
    </row>
    <row r="26" spans="1:7" x14ac:dyDescent="0.2">
      <c r="A26" t="s">
        <v>279</v>
      </c>
      <c r="B26" s="2">
        <v>10.3109</v>
      </c>
      <c r="C26" t="s">
        <v>262</v>
      </c>
    </row>
    <row r="27" spans="1:7" x14ac:dyDescent="0.2">
      <c r="A27" t="s">
        <v>280</v>
      </c>
      <c r="B27" s="3">
        <v>3</v>
      </c>
      <c r="C27" t="s">
        <v>281</v>
      </c>
    </row>
    <row r="29" spans="1:7" ht="32" x14ac:dyDescent="0.2">
      <c r="A29" s="1" t="s">
        <v>282</v>
      </c>
      <c r="B29" s="1" t="s">
        <v>283</v>
      </c>
      <c r="C29" s="1" t="s">
        <v>284</v>
      </c>
      <c r="D29" s="1" t="s">
        <v>285</v>
      </c>
      <c r="E29" s="1" t="s">
        <v>286</v>
      </c>
      <c r="F29" s="1" t="s">
        <v>287</v>
      </c>
      <c r="G29" s="1" t="s">
        <v>22</v>
      </c>
    </row>
    <row r="30" spans="1:7" x14ac:dyDescent="0.2">
      <c r="A30" t="s">
        <v>288</v>
      </c>
      <c r="B30" s="8">
        <v>0.80840000000000001</v>
      </c>
      <c r="C30" s="8">
        <v>1.6167</v>
      </c>
      <c r="D30" s="8">
        <v>3.105</v>
      </c>
      <c r="E30" s="3">
        <v>6.7568999999999999</v>
      </c>
      <c r="F30">
        <v>1598.3603000000001</v>
      </c>
      <c r="G30" t="s">
        <v>25</v>
      </c>
    </row>
    <row r="31" spans="1:7" x14ac:dyDescent="0.2">
      <c r="A31" t="s">
        <v>289</v>
      </c>
      <c r="B31" s="8">
        <v>3.1204000000000001</v>
      </c>
      <c r="C31" s="8">
        <v>6.2408999999999999</v>
      </c>
      <c r="D31" s="8">
        <v>12.323600000000001</v>
      </c>
      <c r="E31" s="3">
        <v>4.4314999999999998</v>
      </c>
      <c r="F31">
        <v>2437.0880999999999</v>
      </c>
      <c r="G31" t="s">
        <v>290</v>
      </c>
    </row>
    <row r="32" spans="1:7" x14ac:dyDescent="0.2">
      <c r="A32" t="s">
        <v>291</v>
      </c>
      <c r="B32" s="8">
        <v>0.91610000000000003</v>
      </c>
      <c r="C32" s="8">
        <v>1.8321000000000001</v>
      </c>
      <c r="D32" s="8">
        <v>3.5491000000000001</v>
      </c>
      <c r="E32" s="3">
        <v>5.9417999999999997</v>
      </c>
      <c r="F32">
        <v>1817.6181999999999</v>
      </c>
      <c r="G32" t="s">
        <v>25</v>
      </c>
    </row>
    <row r="33" spans="1:8" x14ac:dyDescent="0.2">
      <c r="A33" t="s">
        <v>292</v>
      </c>
      <c r="B33" s="8">
        <v>1.3288</v>
      </c>
      <c r="C33" s="8">
        <v>2.6576</v>
      </c>
      <c r="D33" s="8">
        <v>5.2896999999999998</v>
      </c>
      <c r="E33" s="3">
        <v>3.9119999999999999</v>
      </c>
      <c r="F33">
        <v>2760.7089999999998</v>
      </c>
      <c r="G33" t="s">
        <v>293</v>
      </c>
    </row>
    <row r="34" spans="1:8" x14ac:dyDescent="0.2">
      <c r="A34" t="s">
        <v>294</v>
      </c>
      <c r="B34" s="8">
        <v>15.9139</v>
      </c>
      <c r="C34" s="8">
        <v>31.8279</v>
      </c>
      <c r="D34" s="8">
        <v>61.131999999999998</v>
      </c>
      <c r="E34" s="3">
        <v>6.7468000000000004</v>
      </c>
      <c r="F34">
        <v>1600.7627</v>
      </c>
      <c r="G34" t="s">
        <v>290</v>
      </c>
    </row>
    <row r="35" spans="1:8" x14ac:dyDescent="0.2">
      <c r="A35" t="s">
        <v>295</v>
      </c>
      <c r="B35" s="3">
        <v>113.0248</v>
      </c>
      <c r="C35" t="s">
        <v>296</v>
      </c>
    </row>
    <row r="36" spans="1:8" x14ac:dyDescent="0.2">
      <c r="A36" t="s">
        <v>297</v>
      </c>
      <c r="B36" s="3">
        <v>37.674900000000001</v>
      </c>
      <c r="C36" t="s">
        <v>298</v>
      </c>
    </row>
    <row r="37" spans="1:8" x14ac:dyDescent="0.2">
      <c r="A37" s="4" t="s">
        <v>299</v>
      </c>
    </row>
    <row r="39" spans="1:8" ht="16" x14ac:dyDescent="0.2">
      <c r="A39" s="1" t="s">
        <v>300</v>
      </c>
      <c r="B39" s="1" t="s">
        <v>301</v>
      </c>
      <c r="C39" s="1" t="s">
        <v>302</v>
      </c>
      <c r="D39" s="1" t="s">
        <v>303</v>
      </c>
      <c r="E39" s="1" t="s">
        <v>304</v>
      </c>
      <c r="F39" s="1" t="s">
        <v>305</v>
      </c>
      <c r="G39" s="1" t="s">
        <v>306</v>
      </c>
      <c r="H39" s="1" t="s">
        <v>307</v>
      </c>
    </row>
    <row r="40" spans="1:8" x14ac:dyDescent="0.2">
      <c r="A40" s="8">
        <v>0.05</v>
      </c>
      <c r="B40" s="2">
        <v>125.6636</v>
      </c>
      <c r="C40" s="8">
        <v>1</v>
      </c>
      <c r="D40" s="8">
        <v>2.5999999999999999E-3</v>
      </c>
      <c r="E40" s="8">
        <v>1.6999999999999999E-3</v>
      </c>
      <c r="F40" s="8">
        <v>1</v>
      </c>
      <c r="G40" s="8">
        <v>0</v>
      </c>
      <c r="H40" s="8">
        <v>0</v>
      </c>
    </row>
    <row r="41" spans="1:8" x14ac:dyDescent="0.2">
      <c r="A41" s="8">
        <v>8.8999999999999996E-2</v>
      </c>
      <c r="B41" s="2">
        <v>70.597499999999997</v>
      </c>
      <c r="C41" s="8">
        <v>1.0001</v>
      </c>
      <c r="D41" s="8">
        <v>8.2000000000000007E-3</v>
      </c>
      <c r="E41" s="8">
        <v>5.4999999999999997E-3</v>
      </c>
      <c r="F41" s="8">
        <v>1.0001</v>
      </c>
      <c r="G41" s="8">
        <v>0</v>
      </c>
      <c r="H41" s="8">
        <v>0</v>
      </c>
    </row>
    <row r="42" spans="1:8" x14ac:dyDescent="0.2">
      <c r="A42" s="8">
        <v>0.128</v>
      </c>
      <c r="B42" s="2">
        <v>49.087299999999999</v>
      </c>
      <c r="C42" s="8">
        <v>1.0004</v>
      </c>
      <c r="D42" s="8">
        <v>1.7399999999999999E-2</v>
      </c>
      <c r="E42" s="8">
        <v>1.14E-2</v>
      </c>
      <c r="F42" s="8">
        <v>1.0003</v>
      </c>
      <c r="G42" s="8">
        <v>0</v>
      </c>
      <c r="H42" s="8">
        <v>0</v>
      </c>
    </row>
    <row r="43" spans="1:8" x14ac:dyDescent="0.2">
      <c r="A43" s="8">
        <v>0.16700000000000001</v>
      </c>
      <c r="B43" s="2">
        <v>37.623800000000003</v>
      </c>
      <c r="C43" s="8">
        <v>1.0008999999999999</v>
      </c>
      <c r="D43" s="8">
        <v>3.0099999999999998E-2</v>
      </c>
      <c r="E43" s="8">
        <v>1.95E-2</v>
      </c>
      <c r="F43" s="8">
        <v>1.0006999999999999</v>
      </c>
      <c r="G43" s="8">
        <v>0</v>
      </c>
      <c r="H43" s="8">
        <v>0</v>
      </c>
    </row>
    <row r="44" spans="1:8" x14ac:dyDescent="0.2">
      <c r="A44" s="8">
        <v>0.20599999999999999</v>
      </c>
      <c r="B44" s="2">
        <v>30.500900000000001</v>
      </c>
      <c r="C44" s="8">
        <v>1.0017</v>
      </c>
      <c r="D44" s="8">
        <v>4.6600000000000003E-2</v>
      </c>
      <c r="E44" s="8">
        <v>2.9700000000000001E-2</v>
      </c>
      <c r="F44" s="8">
        <v>1.0013000000000001</v>
      </c>
      <c r="G44" s="8">
        <v>1E-4</v>
      </c>
      <c r="H44" s="8">
        <v>1.1000000000000001E-3</v>
      </c>
    </row>
    <row r="45" spans="1:8" x14ac:dyDescent="0.2">
      <c r="A45" s="8">
        <v>0.245</v>
      </c>
      <c r="B45" s="2">
        <v>25.645600000000002</v>
      </c>
      <c r="C45" s="8">
        <v>1.0029999999999999</v>
      </c>
      <c r="D45" s="8">
        <v>6.7100000000000007E-2</v>
      </c>
      <c r="E45" s="8">
        <v>4.2000000000000003E-2</v>
      </c>
      <c r="F45" s="8">
        <v>1.0021</v>
      </c>
      <c r="G45" s="8">
        <v>1E-4</v>
      </c>
      <c r="H45" s="8">
        <v>2.0899999999999998E-2</v>
      </c>
    </row>
    <row r="46" spans="1:8" x14ac:dyDescent="0.2">
      <c r="A46" s="8">
        <v>0.28399999999999997</v>
      </c>
      <c r="B46" s="2">
        <v>22.123899999999999</v>
      </c>
      <c r="C46" s="8">
        <v>1.0048999999999999</v>
      </c>
      <c r="D46" s="8">
        <v>9.1800000000000007E-2</v>
      </c>
      <c r="E46" s="8">
        <v>5.6500000000000002E-2</v>
      </c>
      <c r="F46" s="8">
        <v>1.0033000000000001</v>
      </c>
      <c r="G46" s="8">
        <v>2.0000000000000001E-4</v>
      </c>
      <c r="H46" s="8">
        <v>0.14699999999999999</v>
      </c>
    </row>
    <row r="47" spans="1:8" x14ac:dyDescent="0.2">
      <c r="A47" s="8">
        <v>0.32300000000000001</v>
      </c>
      <c r="B47" s="2">
        <v>19.4526</v>
      </c>
      <c r="C47" s="8">
        <v>1.0076000000000001</v>
      </c>
      <c r="D47" s="8">
        <v>0.1211</v>
      </c>
      <c r="E47" s="8">
        <v>7.3300000000000004E-2</v>
      </c>
      <c r="F47" s="8">
        <v>1.0048999999999999</v>
      </c>
      <c r="G47" s="8">
        <v>4.0000000000000002E-4</v>
      </c>
      <c r="H47" s="8">
        <v>0.5595</v>
      </c>
    </row>
    <row r="48" spans="1:8" x14ac:dyDescent="0.2">
      <c r="A48" s="8">
        <v>0.36199999999999999</v>
      </c>
      <c r="B48" s="2">
        <v>17.3569</v>
      </c>
      <c r="C48" s="8">
        <v>1.0112000000000001</v>
      </c>
      <c r="D48" s="8">
        <v>0.1552</v>
      </c>
      <c r="E48" s="8">
        <v>9.2200000000000004E-2</v>
      </c>
      <c r="F48" s="8">
        <v>1.0069999999999999</v>
      </c>
      <c r="G48" s="8">
        <v>5.9999999999999995E-4</v>
      </c>
      <c r="H48" s="8">
        <v>1.4474</v>
      </c>
    </row>
    <row r="49" spans="1:8" x14ac:dyDescent="0.2">
      <c r="A49" s="8">
        <v>0.40100000000000002</v>
      </c>
      <c r="B49" s="2">
        <v>15.668799999999999</v>
      </c>
      <c r="C49" s="8">
        <v>1.0159</v>
      </c>
      <c r="D49" s="8">
        <v>0.19450000000000001</v>
      </c>
      <c r="E49" s="8">
        <v>0.1135</v>
      </c>
      <c r="F49" s="8">
        <v>1.0095000000000001</v>
      </c>
      <c r="G49" s="8">
        <v>8.9999999999999998E-4</v>
      </c>
      <c r="H49" s="8">
        <v>2.9049</v>
      </c>
    </row>
    <row r="50" spans="1:8" x14ac:dyDescent="0.2">
      <c r="A50" s="8">
        <v>0.44</v>
      </c>
      <c r="B50" s="2">
        <v>14.28</v>
      </c>
      <c r="C50" s="8">
        <v>1.0219</v>
      </c>
      <c r="D50" s="8">
        <v>0.23930000000000001</v>
      </c>
      <c r="E50" s="8">
        <v>0.1371</v>
      </c>
      <c r="F50" s="8">
        <v>1.0125999999999999</v>
      </c>
      <c r="G50" s="8">
        <v>1.2999999999999999E-3</v>
      </c>
      <c r="H50" s="8">
        <v>4.9066999999999998</v>
      </c>
    </row>
    <row r="51" spans="1:8" x14ac:dyDescent="0.2">
      <c r="A51" s="8">
        <v>0.47899999999999998</v>
      </c>
      <c r="B51" s="2">
        <v>13.1173</v>
      </c>
      <c r="C51" s="8">
        <v>1.0294000000000001</v>
      </c>
      <c r="D51" s="8">
        <v>0.29039999999999999</v>
      </c>
      <c r="E51" s="8">
        <v>0.16320000000000001</v>
      </c>
      <c r="F51" s="8">
        <v>1.0164</v>
      </c>
      <c r="G51" s="8">
        <v>1.8E-3</v>
      </c>
      <c r="H51" s="8">
        <v>7.3470000000000004</v>
      </c>
    </row>
    <row r="52" spans="1:8" x14ac:dyDescent="0.2">
      <c r="A52" s="8">
        <v>0.51800000000000002</v>
      </c>
      <c r="B52" s="2">
        <v>12.1297</v>
      </c>
      <c r="C52" s="8">
        <v>1.0387999999999999</v>
      </c>
      <c r="D52" s="8">
        <v>0.34820000000000001</v>
      </c>
      <c r="E52" s="8">
        <v>0.1918</v>
      </c>
      <c r="F52" s="8">
        <v>1.0209999999999999</v>
      </c>
      <c r="G52" s="8">
        <v>2.3999999999999998E-3</v>
      </c>
      <c r="H52" s="8">
        <v>10.092499999999999</v>
      </c>
    </row>
    <row r="53" spans="1:8" x14ac:dyDescent="0.2">
      <c r="A53" s="8">
        <v>0.55700000000000005</v>
      </c>
      <c r="B53" s="2">
        <v>11.2804</v>
      </c>
      <c r="C53" s="8">
        <v>1.0503</v>
      </c>
      <c r="D53" s="8">
        <v>0.41349999999999998</v>
      </c>
      <c r="E53" s="8">
        <v>0.22309999999999999</v>
      </c>
      <c r="F53" s="8">
        <v>1.0264</v>
      </c>
      <c r="G53" s="8">
        <v>3.3E-3</v>
      </c>
      <c r="H53" s="8">
        <v>13.0168</v>
      </c>
    </row>
    <row r="54" spans="1:8" x14ac:dyDescent="0.2">
      <c r="A54" s="8">
        <v>0.59599999999999997</v>
      </c>
      <c r="B54" s="2">
        <v>10.542199999999999</v>
      </c>
      <c r="C54" s="8">
        <v>1.0643</v>
      </c>
      <c r="D54" s="8">
        <v>0.48730000000000001</v>
      </c>
      <c r="E54" s="8">
        <v>0.25729999999999997</v>
      </c>
      <c r="F54" s="8">
        <v>1.0327999999999999</v>
      </c>
      <c r="G54" s="8">
        <v>4.1999999999999997E-3</v>
      </c>
      <c r="H54" s="8">
        <v>16.017600000000002</v>
      </c>
    </row>
    <row r="55" spans="1:8" x14ac:dyDescent="0.2">
      <c r="A55" s="8">
        <v>0.63500000000000001</v>
      </c>
      <c r="B55" s="2">
        <v>9.8948</v>
      </c>
      <c r="C55" s="8">
        <v>1.0811999999999999</v>
      </c>
      <c r="D55" s="8">
        <v>0.57079999999999997</v>
      </c>
      <c r="E55" s="8">
        <v>0.29459999999999997</v>
      </c>
      <c r="F55" s="8">
        <v>1.0403</v>
      </c>
      <c r="G55" s="8">
        <v>5.4000000000000003E-3</v>
      </c>
      <c r="H55" s="8">
        <v>19.019200000000001</v>
      </c>
    </row>
    <row r="56" spans="1:8" x14ac:dyDescent="0.2">
      <c r="A56" s="8">
        <v>0.67400000000000004</v>
      </c>
      <c r="B56" s="2">
        <v>9.3222000000000005</v>
      </c>
      <c r="C56" s="8">
        <v>1.1013999999999999</v>
      </c>
      <c r="D56" s="8">
        <v>0.66520000000000001</v>
      </c>
      <c r="E56" s="8">
        <v>0.3352</v>
      </c>
      <c r="F56" s="8">
        <v>1.0490999999999999</v>
      </c>
      <c r="G56" s="8">
        <v>6.7999999999999996E-3</v>
      </c>
      <c r="H56" s="8">
        <v>21.9682</v>
      </c>
    </row>
    <row r="57" spans="1:8" x14ac:dyDescent="0.2">
      <c r="A57" s="8">
        <v>0.71299999999999997</v>
      </c>
      <c r="B57" s="2">
        <v>8.8123000000000005</v>
      </c>
      <c r="C57" s="8">
        <v>1.1253</v>
      </c>
      <c r="D57" s="8">
        <v>0.77229999999999999</v>
      </c>
      <c r="E57" s="8">
        <v>0.37940000000000002</v>
      </c>
      <c r="F57" s="8">
        <v>1.0595000000000001</v>
      </c>
      <c r="G57" s="8">
        <v>8.3999999999999995E-3</v>
      </c>
      <c r="H57" s="8">
        <v>24.823499999999999</v>
      </c>
    </row>
    <row r="58" spans="1:8" x14ac:dyDescent="0.2">
      <c r="A58" s="8">
        <v>0.752</v>
      </c>
      <c r="B58" s="2">
        <v>8.3552999999999997</v>
      </c>
      <c r="C58" s="8">
        <v>1.1537999999999999</v>
      </c>
      <c r="D58" s="8">
        <v>0.89429999999999998</v>
      </c>
      <c r="E58" s="8">
        <v>0.42780000000000001</v>
      </c>
      <c r="F58" s="8">
        <v>1.0716000000000001</v>
      </c>
      <c r="G58" s="8">
        <v>1.0200000000000001E-2</v>
      </c>
      <c r="H58" s="8">
        <v>27.5425</v>
      </c>
    </row>
    <row r="59" spans="1:8" x14ac:dyDescent="0.2">
      <c r="A59" s="8">
        <v>0.79100000000000004</v>
      </c>
      <c r="B59" s="2">
        <v>7.9432999999999998</v>
      </c>
      <c r="C59" s="8">
        <v>1.1874</v>
      </c>
      <c r="D59" s="8">
        <v>1.0338000000000001</v>
      </c>
      <c r="E59" s="8">
        <v>0.48070000000000002</v>
      </c>
      <c r="F59" s="8">
        <v>1.0858000000000001</v>
      </c>
      <c r="G59" s="8">
        <v>1.23E-2</v>
      </c>
      <c r="H59" s="8">
        <v>30.059699999999999</v>
      </c>
    </row>
    <row r="60" spans="1:8" x14ac:dyDescent="0.2">
      <c r="A60" s="8">
        <v>0.83</v>
      </c>
      <c r="B60" s="2">
        <v>7.5701000000000001</v>
      </c>
      <c r="C60" s="8">
        <v>1.2271000000000001</v>
      </c>
      <c r="D60" s="8">
        <v>1.1940999999999999</v>
      </c>
      <c r="E60" s="8">
        <v>0.53890000000000005</v>
      </c>
      <c r="F60" s="8">
        <v>1.1025</v>
      </c>
      <c r="G60" s="8">
        <v>1.47E-2</v>
      </c>
      <c r="H60" s="8">
        <v>32.261000000000003</v>
      </c>
    </row>
    <row r="61" spans="1:8" x14ac:dyDescent="0.2">
      <c r="A61" s="8">
        <v>0.86899999999999999</v>
      </c>
      <c r="B61" s="2">
        <v>7.2304000000000004</v>
      </c>
      <c r="C61" s="8">
        <v>1.274</v>
      </c>
      <c r="D61" s="8">
        <v>1.3792</v>
      </c>
      <c r="E61" s="8">
        <v>0.60319999999999996</v>
      </c>
      <c r="F61" s="8">
        <v>1.1222000000000001</v>
      </c>
      <c r="G61" s="8">
        <v>1.7299999999999999E-2</v>
      </c>
      <c r="H61" s="8">
        <v>33.956899999999997</v>
      </c>
    </row>
    <row r="62" spans="1:8" x14ac:dyDescent="0.2">
      <c r="A62" s="8">
        <v>0.90800000000000003</v>
      </c>
      <c r="B62" s="2">
        <v>6.9198000000000004</v>
      </c>
      <c r="C62" s="8">
        <v>1.3294999999999999</v>
      </c>
      <c r="D62" s="8">
        <v>1.5947</v>
      </c>
      <c r="E62" s="8">
        <v>0.67479999999999996</v>
      </c>
      <c r="F62" s="8">
        <v>1.1455</v>
      </c>
      <c r="G62" s="8">
        <v>2.0199999999999999E-2</v>
      </c>
      <c r="H62" s="8">
        <v>34.878300000000003</v>
      </c>
    </row>
    <row r="63" spans="1:8" x14ac:dyDescent="0.2">
      <c r="A63" s="8">
        <v>0.94699999999999995</v>
      </c>
      <c r="B63" s="2">
        <v>6.6348000000000003</v>
      </c>
      <c r="C63" s="8">
        <v>1.3952</v>
      </c>
      <c r="D63" s="8">
        <v>1.8472</v>
      </c>
      <c r="E63" s="8">
        <v>0.755</v>
      </c>
      <c r="F63" s="8">
        <v>1.1733</v>
      </c>
      <c r="G63" s="8">
        <v>2.3400000000000001E-2</v>
      </c>
      <c r="H63" s="8">
        <v>34.7333</v>
      </c>
    </row>
    <row r="64" spans="1:8" x14ac:dyDescent="0.2">
      <c r="A64" s="8">
        <v>0.98599999999999999</v>
      </c>
      <c r="B64" s="2">
        <v>6.3723999999999998</v>
      </c>
      <c r="C64" s="8">
        <v>1.4735</v>
      </c>
      <c r="D64" s="8">
        <v>2.1457999999999999</v>
      </c>
      <c r="E64" s="8">
        <v>0.84570000000000001</v>
      </c>
      <c r="F64" s="8">
        <v>1.2065999999999999</v>
      </c>
      <c r="G64" s="8">
        <v>2.6800000000000001E-2</v>
      </c>
      <c r="H64" s="8">
        <v>33.347499999999997</v>
      </c>
    </row>
    <row r="65" spans="1:8" x14ac:dyDescent="0.2">
      <c r="A65" s="8">
        <v>1.0249999999999999</v>
      </c>
      <c r="B65" s="2">
        <v>6.1299000000000001</v>
      </c>
      <c r="C65" s="8">
        <v>1.5670999999999999</v>
      </c>
      <c r="D65" s="8">
        <v>2.5021</v>
      </c>
      <c r="E65" s="8">
        <v>0.94950000000000001</v>
      </c>
      <c r="F65" s="8">
        <v>1.2466999999999999</v>
      </c>
      <c r="G65" s="8">
        <v>3.0499999999999999E-2</v>
      </c>
      <c r="H65" s="8">
        <v>30.8123</v>
      </c>
    </row>
    <row r="66" spans="1:8" x14ac:dyDescent="0.2">
      <c r="A66" s="8">
        <v>1.0640000000000001</v>
      </c>
      <c r="B66" s="2">
        <v>5.9051999999999998</v>
      </c>
      <c r="C66" s="8">
        <v>1.6798999999999999</v>
      </c>
      <c r="D66" s="8">
        <v>2.9318</v>
      </c>
      <c r="E66" s="8">
        <v>1.0697000000000001</v>
      </c>
      <c r="F66" s="8">
        <v>1.2952999999999999</v>
      </c>
      <c r="G66" s="8">
        <v>3.44E-2</v>
      </c>
      <c r="H66" s="8">
        <v>27.4939</v>
      </c>
    </row>
    <row r="67" spans="1:8" x14ac:dyDescent="0.2">
      <c r="A67" s="8">
        <v>1.103</v>
      </c>
      <c r="B67" s="2">
        <v>5.6963999999999997</v>
      </c>
      <c r="C67" s="8">
        <v>1.8163</v>
      </c>
      <c r="D67" s="8">
        <v>3.4552999999999998</v>
      </c>
      <c r="E67" s="8">
        <v>1.2103999999999999</v>
      </c>
      <c r="F67" s="8">
        <v>1.3543000000000001</v>
      </c>
      <c r="G67" s="8">
        <v>3.85E-2</v>
      </c>
      <c r="H67" s="8">
        <v>23.867000000000001</v>
      </c>
    </row>
    <row r="68" spans="1:8" x14ac:dyDescent="0.2">
      <c r="A68" s="8">
        <v>1.1419999999999999</v>
      </c>
      <c r="B68" s="2">
        <v>5.5019</v>
      </c>
      <c r="C68" s="8">
        <v>1.9817</v>
      </c>
      <c r="D68" s="8">
        <v>4.0987</v>
      </c>
      <c r="E68" s="8">
        <v>1.3766</v>
      </c>
      <c r="F68" s="8">
        <v>1.4255</v>
      </c>
      <c r="G68" s="8">
        <v>4.2799999999999998E-2</v>
      </c>
      <c r="H68" s="8">
        <v>20.325900000000001</v>
      </c>
    </row>
    <row r="69" spans="1:8" x14ac:dyDescent="0.2">
      <c r="A69" s="8">
        <v>1.181</v>
      </c>
      <c r="B69" s="2">
        <v>5.3201999999999998</v>
      </c>
      <c r="C69" s="8">
        <v>2.1806000000000001</v>
      </c>
      <c r="D69" s="8">
        <v>4.8914999999999997</v>
      </c>
      <c r="E69" s="8">
        <v>1.5733999999999999</v>
      </c>
      <c r="F69" s="8">
        <v>1.5099</v>
      </c>
      <c r="G69" s="8">
        <v>4.7300000000000002E-2</v>
      </c>
      <c r="H69" s="8">
        <v>17.104700000000001</v>
      </c>
    </row>
    <row r="70" spans="1:8" x14ac:dyDescent="0.2">
      <c r="A70" s="8">
        <v>1.22</v>
      </c>
      <c r="B70" s="2">
        <v>5.1501000000000001</v>
      </c>
      <c r="C70" s="8">
        <v>2.4123999999999999</v>
      </c>
      <c r="D70" s="8">
        <v>5.8555999999999999</v>
      </c>
      <c r="E70" s="8">
        <v>1.8018000000000001</v>
      </c>
      <c r="F70" s="8">
        <v>1.6041000000000001</v>
      </c>
      <c r="G70" s="8">
        <v>5.1900000000000002E-2</v>
      </c>
      <c r="H70" s="8">
        <v>14.296900000000001</v>
      </c>
    </row>
    <row r="71" spans="1:8" x14ac:dyDescent="0.2">
      <c r="A71" s="8">
        <v>1.2589999999999999</v>
      </c>
      <c r="B71" s="2">
        <v>4.9905999999999997</v>
      </c>
      <c r="C71" s="8">
        <v>2.6591999999999998</v>
      </c>
      <c r="D71" s="8">
        <v>6.9696999999999996</v>
      </c>
      <c r="E71" s="8">
        <v>2.0495999999999999</v>
      </c>
      <c r="F71" s="8">
        <v>1.6942999999999999</v>
      </c>
      <c r="G71" s="8">
        <v>5.6599999999999998E-2</v>
      </c>
      <c r="H71" s="8">
        <v>11.909000000000001</v>
      </c>
    </row>
    <row r="72" spans="1:8" x14ac:dyDescent="0.2">
      <c r="A72" s="8">
        <v>1.298</v>
      </c>
      <c r="B72" s="2">
        <v>4.8407</v>
      </c>
      <c r="C72" s="8">
        <v>2.8641999999999999</v>
      </c>
      <c r="D72" s="8">
        <v>8.0893999999999995</v>
      </c>
      <c r="E72" s="8">
        <v>2.2715999999999998</v>
      </c>
      <c r="F72" s="8">
        <v>1.7444999999999999</v>
      </c>
      <c r="G72" s="8">
        <v>6.1199999999999997E-2</v>
      </c>
      <c r="H72" s="8">
        <v>9.9054000000000002</v>
      </c>
    </row>
    <row r="73" spans="1:8" x14ac:dyDescent="0.2">
      <c r="A73" s="8">
        <v>1.337</v>
      </c>
      <c r="B73" s="2">
        <v>4.6994999999999996</v>
      </c>
      <c r="C73" s="8">
        <v>2.9222000000000001</v>
      </c>
      <c r="D73" s="8">
        <v>8.8770000000000007</v>
      </c>
      <c r="E73" s="8">
        <v>2.3786</v>
      </c>
      <c r="F73" s="8">
        <v>1.6975</v>
      </c>
      <c r="G73" s="8">
        <v>6.59E-2</v>
      </c>
      <c r="H73" s="8">
        <v>8.2354000000000003</v>
      </c>
    </row>
    <row r="74" spans="1:8" x14ac:dyDescent="0.2">
      <c r="A74" s="8">
        <v>1.3759999999999999</v>
      </c>
      <c r="B74" s="2">
        <v>4.5663</v>
      </c>
      <c r="C74" s="8">
        <v>2.7501000000000002</v>
      </c>
      <c r="D74" s="8">
        <v>8.9693000000000005</v>
      </c>
      <c r="E74" s="8">
        <v>2.2919</v>
      </c>
      <c r="F74" s="8">
        <v>1.5199</v>
      </c>
      <c r="G74" s="8">
        <v>7.0400000000000004E-2</v>
      </c>
      <c r="H74" s="8">
        <v>6.8474000000000004</v>
      </c>
    </row>
    <row r="75" spans="1:8" x14ac:dyDescent="0.2">
      <c r="A75" s="8">
        <v>1.415</v>
      </c>
      <c r="B75" s="2">
        <v>4.4404000000000003</v>
      </c>
      <c r="C75" s="8">
        <v>2.3944999999999999</v>
      </c>
      <c r="D75" s="8">
        <v>8.3701000000000008</v>
      </c>
      <c r="E75" s="8">
        <v>2.0386000000000002</v>
      </c>
      <c r="F75" s="8">
        <v>1.2559</v>
      </c>
      <c r="G75" s="8">
        <v>7.4800000000000005E-2</v>
      </c>
      <c r="H75" s="8">
        <v>5.6944999999999997</v>
      </c>
    </row>
    <row r="76" spans="1:8" x14ac:dyDescent="0.2">
      <c r="A76" s="8">
        <v>1.454</v>
      </c>
      <c r="B76" s="2">
        <v>4.3212999999999999</v>
      </c>
      <c r="C76" s="8">
        <v>1.9854000000000001</v>
      </c>
      <c r="D76" s="8">
        <v>7.4264999999999999</v>
      </c>
      <c r="E76" s="8">
        <v>1.7234</v>
      </c>
      <c r="F76" s="8">
        <v>0.98570000000000002</v>
      </c>
      <c r="G76" s="8">
        <v>7.8899999999999998E-2</v>
      </c>
      <c r="H76" s="8">
        <v>4.7363</v>
      </c>
    </row>
    <row r="77" spans="1:8" x14ac:dyDescent="0.2">
      <c r="A77" s="8">
        <v>1.4930000000000001</v>
      </c>
      <c r="B77" s="2">
        <v>4.2084000000000001</v>
      </c>
      <c r="C77" s="8">
        <v>1.6133999999999999</v>
      </c>
      <c r="D77" s="8">
        <v>6.4482999999999997</v>
      </c>
      <c r="E77" s="8">
        <v>1.4253</v>
      </c>
      <c r="F77" s="8">
        <v>0.75600000000000001</v>
      </c>
      <c r="G77" s="8">
        <v>8.2699999999999996E-2</v>
      </c>
      <c r="H77" s="8">
        <v>3.9392999999999998</v>
      </c>
    </row>
    <row r="78" spans="1:8" x14ac:dyDescent="0.2">
      <c r="A78" s="8">
        <v>1.532</v>
      </c>
      <c r="B78" s="2">
        <v>4.1013000000000002</v>
      </c>
      <c r="C78" s="8">
        <v>1.3065</v>
      </c>
      <c r="D78" s="8">
        <v>5.5709999999999997</v>
      </c>
      <c r="E78" s="8">
        <v>1.1727000000000001</v>
      </c>
      <c r="F78" s="8">
        <v>0.57599999999999996</v>
      </c>
      <c r="G78" s="8">
        <v>8.6199999999999999E-2</v>
      </c>
      <c r="H78" s="8">
        <v>3.2755000000000001</v>
      </c>
    </row>
    <row r="79" spans="1:8" x14ac:dyDescent="0.2">
      <c r="A79" s="8">
        <v>1.571</v>
      </c>
      <c r="B79" s="2">
        <v>3.9994999999999998</v>
      </c>
      <c r="C79" s="8">
        <v>1.0615000000000001</v>
      </c>
      <c r="D79" s="8">
        <v>4.8223000000000003</v>
      </c>
      <c r="E79" s="8">
        <v>0.96660000000000001</v>
      </c>
      <c r="F79" s="8">
        <v>0.43869999999999998</v>
      </c>
      <c r="G79" s="8">
        <v>8.9300000000000004E-2</v>
      </c>
      <c r="H79" s="8">
        <v>2.7221000000000002</v>
      </c>
    </row>
    <row r="80" spans="1:8" x14ac:dyDescent="0.2">
      <c r="A80" s="8">
        <v>1.61</v>
      </c>
      <c r="B80" s="2">
        <v>3.9026000000000001</v>
      </c>
      <c r="C80" s="8">
        <v>0.86680000000000001</v>
      </c>
      <c r="D80" s="8">
        <v>4.1898999999999997</v>
      </c>
      <c r="E80" s="8">
        <v>0.79959999999999998</v>
      </c>
      <c r="F80" s="8">
        <v>0.33450000000000002</v>
      </c>
      <c r="G80" s="8">
        <v>9.1800000000000007E-2</v>
      </c>
      <c r="H80" s="8">
        <v>2.2604000000000002</v>
      </c>
    </row>
    <row r="81" spans="1:8" x14ac:dyDescent="0.2">
      <c r="A81" s="8">
        <v>1.649</v>
      </c>
      <c r="B81" s="2">
        <v>3.8102999999999998</v>
      </c>
      <c r="C81" s="8">
        <v>0.71109999999999995</v>
      </c>
      <c r="D81" s="8">
        <v>3.653</v>
      </c>
      <c r="E81" s="8">
        <v>0.66379999999999995</v>
      </c>
      <c r="F81" s="8">
        <v>0.25509999999999999</v>
      </c>
      <c r="G81" s="8">
        <v>9.3799999999999994E-2</v>
      </c>
      <c r="H81" s="8">
        <v>1.8751</v>
      </c>
    </row>
    <row r="82" spans="1:8" x14ac:dyDescent="0.2">
      <c r="A82" s="8">
        <v>1.6879999999999999</v>
      </c>
      <c r="B82" s="2">
        <v>3.7223000000000002</v>
      </c>
      <c r="C82" s="8">
        <v>0.58540000000000003</v>
      </c>
      <c r="D82" s="8">
        <v>3.1920000000000002</v>
      </c>
      <c r="E82" s="8">
        <v>0.55230000000000001</v>
      </c>
      <c r="F82" s="8">
        <v>0.19409999999999999</v>
      </c>
      <c r="G82" s="8">
        <v>9.5100000000000004E-2</v>
      </c>
      <c r="H82" s="8">
        <v>1.5535000000000001</v>
      </c>
    </row>
    <row r="83" spans="1:8" x14ac:dyDescent="0.2">
      <c r="A83" s="8">
        <v>1.7270000000000001</v>
      </c>
      <c r="B83" s="2">
        <v>3.6381999999999999</v>
      </c>
      <c r="C83" s="8">
        <v>0.4829</v>
      </c>
      <c r="D83" s="8">
        <v>2.7913999999999999</v>
      </c>
      <c r="E83" s="8">
        <v>0.46</v>
      </c>
      <c r="F83" s="8">
        <v>0.14699999999999999</v>
      </c>
      <c r="G83" s="8">
        <v>9.5799999999999996E-2</v>
      </c>
      <c r="H83" s="8">
        <v>1.2851999999999999</v>
      </c>
    </row>
    <row r="84" spans="1:8" x14ac:dyDescent="0.2">
      <c r="A84" s="8">
        <v>1.766</v>
      </c>
      <c r="B84" s="2">
        <v>3.5579000000000001</v>
      </c>
      <c r="C84" s="8">
        <v>0.39850000000000002</v>
      </c>
      <c r="D84" s="8">
        <v>2.4392999999999998</v>
      </c>
      <c r="E84" s="8">
        <v>0.38279999999999997</v>
      </c>
      <c r="F84" s="8">
        <v>0.1105</v>
      </c>
      <c r="G84" s="8">
        <v>9.5799999999999996E-2</v>
      </c>
      <c r="H84" s="8">
        <v>1.0617000000000001</v>
      </c>
    </row>
    <row r="85" spans="1:8" x14ac:dyDescent="0.2">
      <c r="A85" s="8">
        <v>1.8049999999999999</v>
      </c>
      <c r="B85" s="2">
        <v>3.4809999999999999</v>
      </c>
      <c r="C85" s="8">
        <v>0.32840000000000003</v>
      </c>
      <c r="D85" s="8">
        <v>2.1269</v>
      </c>
      <c r="E85" s="8">
        <v>0.318</v>
      </c>
      <c r="F85" s="8">
        <v>8.2199999999999995E-2</v>
      </c>
      <c r="G85" s="8">
        <v>9.5000000000000001E-2</v>
      </c>
      <c r="H85" s="8">
        <v>0.87580000000000002</v>
      </c>
    </row>
    <row r="86" spans="1:8" x14ac:dyDescent="0.2">
      <c r="A86" s="8">
        <v>1.8440000000000001</v>
      </c>
      <c r="B86" s="2">
        <v>3.4074</v>
      </c>
      <c r="C86" s="8">
        <v>0.27</v>
      </c>
      <c r="D86" s="8">
        <v>1.8476999999999999</v>
      </c>
      <c r="E86" s="8">
        <v>0.26319999999999999</v>
      </c>
      <c r="F86" s="8">
        <v>6.0100000000000001E-2</v>
      </c>
      <c r="G86" s="8">
        <v>9.3399999999999997E-2</v>
      </c>
      <c r="H86" s="8">
        <v>0.72150000000000003</v>
      </c>
    </row>
    <row r="87" spans="1:8" x14ac:dyDescent="0.2">
      <c r="A87" s="8">
        <v>1.883</v>
      </c>
      <c r="B87" s="2">
        <v>3.3368000000000002</v>
      </c>
      <c r="C87" s="8">
        <v>0.221</v>
      </c>
      <c r="D87" s="8">
        <v>1.597</v>
      </c>
      <c r="E87" s="8">
        <v>0.21679999999999999</v>
      </c>
      <c r="F87" s="8">
        <v>4.2999999999999997E-2</v>
      </c>
      <c r="G87" s="8">
        <v>9.11E-2</v>
      </c>
      <c r="H87" s="8">
        <v>0.59379999999999999</v>
      </c>
    </row>
    <row r="88" spans="1:8" x14ac:dyDescent="0.2">
      <c r="A88" s="8">
        <v>1.9219999999999999</v>
      </c>
      <c r="B88" s="2">
        <v>3.2690999999999999</v>
      </c>
      <c r="C88" s="8">
        <v>0.1799</v>
      </c>
      <c r="D88" s="8">
        <v>1.3711</v>
      </c>
      <c r="E88" s="8">
        <v>0.1774</v>
      </c>
      <c r="F88" s="8">
        <v>2.9899999999999999E-2</v>
      </c>
      <c r="G88" s="8">
        <v>8.7999999999999995E-2</v>
      </c>
      <c r="H88" s="8">
        <v>0.48849999999999999</v>
      </c>
    </row>
    <row r="89" spans="1:8" x14ac:dyDescent="0.2">
      <c r="A89" s="8">
        <v>1.9610000000000001</v>
      </c>
      <c r="B89" s="2">
        <v>3.2040999999999999</v>
      </c>
      <c r="C89" s="8">
        <v>0.14530000000000001</v>
      </c>
      <c r="D89" s="8">
        <v>1.1674</v>
      </c>
      <c r="E89" s="8">
        <v>0.14399999999999999</v>
      </c>
      <c r="F89" s="8">
        <v>1.9900000000000001E-2</v>
      </c>
      <c r="G89" s="8">
        <v>8.4099999999999994E-2</v>
      </c>
      <c r="H89" s="8">
        <v>0.4022</v>
      </c>
    </row>
    <row r="90" spans="1:8" x14ac:dyDescent="0.2">
      <c r="A90" s="8">
        <v>2</v>
      </c>
      <c r="B90" s="2">
        <v>3.1415999999999999</v>
      </c>
      <c r="C90" s="8">
        <v>0.1163</v>
      </c>
      <c r="D90" s="8">
        <v>0.98399999999999999</v>
      </c>
      <c r="E90" s="8">
        <v>0.1157</v>
      </c>
      <c r="F90" s="8">
        <v>1.24E-2</v>
      </c>
      <c r="G90" s="8">
        <v>7.9600000000000004E-2</v>
      </c>
      <c r="H90" s="8">
        <v>0.33169999999999999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5"/>
  <sheetViews>
    <sheetView workbookViewId="0"/>
  </sheetViews>
  <sheetFormatPr baseColWidth="10" defaultColWidth="8.83203125" defaultRowHeight="15" x14ac:dyDescent="0.2"/>
  <cols>
    <col min="1" max="1" width="46" customWidth="1"/>
    <col min="2" max="3" width="16" customWidth="1"/>
    <col min="4" max="7" width="14" customWidth="1"/>
    <col min="8" max="8" width="30" customWidth="1"/>
  </cols>
  <sheetData>
    <row r="1" spans="1:3" x14ac:dyDescent="0.2">
      <c r="A1" s="4" t="s">
        <v>308</v>
      </c>
    </row>
    <row r="2" spans="1:3" x14ac:dyDescent="0.2">
      <c r="A2" t="s">
        <v>309</v>
      </c>
    </row>
    <row r="4" spans="1:3" ht="16" x14ac:dyDescent="0.2">
      <c r="A4" s="1" t="s">
        <v>310</v>
      </c>
      <c r="B4" s="1" t="s">
        <v>21</v>
      </c>
      <c r="C4" s="1" t="s">
        <v>22</v>
      </c>
    </row>
    <row r="5" spans="1:3" x14ac:dyDescent="0.2">
      <c r="A5" t="s">
        <v>311</v>
      </c>
      <c r="B5" s="2">
        <v>15.1919</v>
      </c>
      <c r="C5" t="s">
        <v>25</v>
      </c>
    </row>
    <row r="6" spans="1:3" x14ac:dyDescent="0.2">
      <c r="A6" t="s">
        <v>312</v>
      </c>
      <c r="B6" s="2">
        <v>4.0384000000000002</v>
      </c>
      <c r="C6" t="s">
        <v>25</v>
      </c>
    </row>
    <row r="7" spans="1:3" x14ac:dyDescent="0.2">
      <c r="A7" t="s">
        <v>313</v>
      </c>
      <c r="B7" s="2">
        <v>3.048</v>
      </c>
      <c r="C7" t="s">
        <v>25</v>
      </c>
    </row>
    <row r="8" spans="1:3" x14ac:dyDescent="0.2">
      <c r="A8" t="s">
        <v>314</v>
      </c>
      <c r="B8" s="2">
        <v>1.611</v>
      </c>
      <c r="C8" t="s">
        <v>25</v>
      </c>
    </row>
    <row r="9" spans="1:3" x14ac:dyDescent="0.2">
      <c r="A9" t="s">
        <v>164</v>
      </c>
      <c r="B9" s="8">
        <v>0.57310000000000005</v>
      </c>
    </row>
    <row r="10" spans="1:3" x14ac:dyDescent="0.2">
      <c r="A10" t="s">
        <v>266</v>
      </c>
      <c r="B10" s="3">
        <v>5</v>
      </c>
      <c r="C10" t="s">
        <v>243</v>
      </c>
    </row>
    <row r="11" spans="1:3" x14ac:dyDescent="0.2">
      <c r="A11" t="s">
        <v>315</v>
      </c>
      <c r="B11" t="s">
        <v>316</v>
      </c>
    </row>
    <row r="12" spans="1:3" x14ac:dyDescent="0.2">
      <c r="A12" t="s">
        <v>317</v>
      </c>
      <c r="B12" s="2">
        <v>1</v>
      </c>
    </row>
    <row r="13" spans="1:3" x14ac:dyDescent="0.2">
      <c r="A13" t="s">
        <v>318</v>
      </c>
      <c r="B13" t="s">
        <v>319</v>
      </c>
    </row>
    <row r="14" spans="1:3" x14ac:dyDescent="0.2">
      <c r="A14" t="s">
        <v>320</v>
      </c>
      <c r="B14" s="3">
        <v>0</v>
      </c>
      <c r="C14" t="s">
        <v>321</v>
      </c>
    </row>
    <row r="15" spans="1:3" x14ac:dyDescent="0.2">
      <c r="A15" t="s">
        <v>322</v>
      </c>
      <c r="B15" s="2">
        <v>2.5</v>
      </c>
      <c r="C15" t="s">
        <v>25</v>
      </c>
    </row>
    <row r="17" spans="1:8" ht="16" x14ac:dyDescent="0.2">
      <c r="A17" s="1" t="s">
        <v>323</v>
      </c>
      <c r="B17" s="1" t="s">
        <v>324</v>
      </c>
      <c r="C17" s="1" t="s">
        <v>325</v>
      </c>
      <c r="D17" s="1" t="s">
        <v>22</v>
      </c>
    </row>
    <row r="18" spans="1:8" x14ac:dyDescent="0.2">
      <c r="A18" t="s">
        <v>326</v>
      </c>
      <c r="B18" s="3">
        <v>9.3700000000000006E-2</v>
      </c>
      <c r="C18" s="3">
        <v>9.3700000000000006E-2</v>
      </c>
      <c r="D18" t="s">
        <v>327</v>
      </c>
    </row>
    <row r="19" spans="1:8" x14ac:dyDescent="0.2">
      <c r="A19" t="s">
        <v>328</v>
      </c>
      <c r="B19" s="3">
        <v>0</v>
      </c>
      <c r="C19" s="3">
        <v>0.37280000000000002</v>
      </c>
      <c r="D19" t="s">
        <v>327</v>
      </c>
    </row>
    <row r="20" spans="1:8" x14ac:dyDescent="0.2">
      <c r="A20" t="s">
        <v>329</v>
      </c>
      <c r="B20" s="3">
        <v>9.3700000000000006E-2</v>
      </c>
      <c r="C20" s="3">
        <v>0.37280000000000002</v>
      </c>
      <c r="D20" t="s">
        <v>327</v>
      </c>
    </row>
    <row r="21" spans="1:8" x14ac:dyDescent="0.2">
      <c r="A21" t="s">
        <v>330</v>
      </c>
      <c r="B21" s="3">
        <v>0.16039999999999999</v>
      </c>
      <c r="C21" s="3">
        <v>0.1278</v>
      </c>
      <c r="D21" t="s">
        <v>327</v>
      </c>
    </row>
    <row r="22" spans="1:8" x14ac:dyDescent="0.2">
      <c r="A22" t="s">
        <v>331</v>
      </c>
      <c r="B22">
        <v>1452.0027</v>
      </c>
      <c r="C22">
        <v>2860.9153999999999</v>
      </c>
      <c r="D22" t="s">
        <v>332</v>
      </c>
    </row>
    <row r="23" spans="1:8" x14ac:dyDescent="0.2">
      <c r="A23" t="s">
        <v>333</v>
      </c>
      <c r="B23">
        <v>8306.0687999999991</v>
      </c>
      <c r="D23" t="s">
        <v>332</v>
      </c>
    </row>
    <row r="24" spans="1:8" x14ac:dyDescent="0.2">
      <c r="A24" t="s">
        <v>334</v>
      </c>
      <c r="B24">
        <v>8306.0687999999991</v>
      </c>
      <c r="D24" t="s">
        <v>332</v>
      </c>
    </row>
    <row r="25" spans="1:8" x14ac:dyDescent="0.2">
      <c r="A25" t="s">
        <v>335</v>
      </c>
      <c r="B25">
        <v>199650.8682</v>
      </c>
      <c r="D25" t="s">
        <v>332</v>
      </c>
    </row>
    <row r="26" spans="1:8" x14ac:dyDescent="0.2">
      <c r="A26" t="s">
        <v>336</v>
      </c>
      <c r="B26">
        <v>214236.9184</v>
      </c>
      <c r="D26" t="s">
        <v>332</v>
      </c>
    </row>
    <row r="27" spans="1:8" x14ac:dyDescent="0.2">
      <c r="A27" t="s">
        <v>337</v>
      </c>
      <c r="B27">
        <v>33.636299999999999</v>
      </c>
      <c r="C27">
        <v>570.04390000000001</v>
      </c>
      <c r="D27" t="s">
        <v>338</v>
      </c>
    </row>
    <row r="29" spans="1:8" ht="16" x14ac:dyDescent="0.2">
      <c r="A29" s="1" t="s">
        <v>339</v>
      </c>
      <c r="B29" s="1" t="s">
        <v>340</v>
      </c>
      <c r="C29" s="1" t="s">
        <v>341</v>
      </c>
      <c r="D29" s="1" t="s">
        <v>342</v>
      </c>
      <c r="E29" s="1" t="s">
        <v>343</v>
      </c>
      <c r="F29" s="1" t="s">
        <v>344</v>
      </c>
      <c r="G29" s="1" t="s">
        <v>345</v>
      </c>
      <c r="H29" s="1" t="s">
        <v>346</v>
      </c>
    </row>
    <row r="30" spans="1:8" x14ac:dyDescent="0.2">
      <c r="A30" t="s">
        <v>347</v>
      </c>
      <c r="B30" s="3">
        <v>8</v>
      </c>
      <c r="C30" s="2">
        <v>0.7</v>
      </c>
      <c r="D30" t="s">
        <v>348</v>
      </c>
      <c r="E30">
        <v>100</v>
      </c>
      <c r="F30" s="3">
        <v>8</v>
      </c>
    </row>
    <row r="31" spans="1:8" x14ac:dyDescent="0.2">
      <c r="A31" t="s">
        <v>349</v>
      </c>
      <c r="B31" s="3">
        <v>8</v>
      </c>
      <c r="C31" s="2">
        <v>0.7</v>
      </c>
      <c r="D31" t="s">
        <v>348</v>
      </c>
      <c r="E31">
        <v>100</v>
      </c>
      <c r="F31" s="3">
        <v>8</v>
      </c>
    </row>
    <row r="32" spans="1:8" x14ac:dyDescent="0.2">
      <c r="A32" t="s">
        <v>350</v>
      </c>
      <c r="B32" s="3">
        <v>9</v>
      </c>
      <c r="C32" s="2">
        <v>0.7</v>
      </c>
      <c r="D32" t="s">
        <v>348</v>
      </c>
      <c r="E32">
        <v>100</v>
      </c>
      <c r="F32" s="3">
        <v>8</v>
      </c>
    </row>
    <row r="33" spans="1:8" x14ac:dyDescent="0.2">
      <c r="A33" t="s">
        <v>351</v>
      </c>
      <c r="B33" s="3">
        <v>8</v>
      </c>
      <c r="C33" s="2">
        <v>0.7</v>
      </c>
      <c r="D33" t="s">
        <v>348</v>
      </c>
      <c r="E33">
        <v>100</v>
      </c>
      <c r="F33" s="3">
        <v>8</v>
      </c>
    </row>
    <row r="34" spans="1:8" x14ac:dyDescent="0.2">
      <c r="A34" t="s">
        <v>352</v>
      </c>
      <c r="B34" s="3">
        <v>10</v>
      </c>
    </row>
    <row r="35" spans="1:8" x14ac:dyDescent="0.2">
      <c r="A35" t="s">
        <v>353</v>
      </c>
      <c r="B35" s="2">
        <v>1.4702999999999999</v>
      </c>
    </row>
    <row r="36" spans="1:8" x14ac:dyDescent="0.2">
      <c r="A36" t="s">
        <v>354</v>
      </c>
      <c r="B36" s="8">
        <v>0.315</v>
      </c>
    </row>
    <row r="37" spans="1:8" x14ac:dyDescent="0.2">
      <c r="A37" t="s">
        <v>355</v>
      </c>
      <c r="B37">
        <v>1739.0234</v>
      </c>
    </row>
    <row r="39" spans="1:8" ht="16" x14ac:dyDescent="0.2">
      <c r="A39" s="1" t="s">
        <v>356</v>
      </c>
      <c r="B39" s="1" t="s">
        <v>357</v>
      </c>
      <c r="C39" s="1" t="s">
        <v>358</v>
      </c>
      <c r="D39" s="1" t="s">
        <v>359</v>
      </c>
      <c r="E39" s="1" t="s">
        <v>360</v>
      </c>
      <c r="F39" s="1" t="s">
        <v>22</v>
      </c>
      <c r="G39" s="1" t="s">
        <v>361</v>
      </c>
      <c r="H39" s="1" t="s">
        <v>362</v>
      </c>
    </row>
    <row r="40" spans="1:8" x14ac:dyDescent="0.2">
      <c r="A40" t="s">
        <v>363</v>
      </c>
      <c r="B40" s="3">
        <v>20.994599999999998</v>
      </c>
      <c r="C40">
        <v>120</v>
      </c>
      <c r="D40" s="3">
        <v>5.7</v>
      </c>
      <c r="E40" s="3">
        <v>9</v>
      </c>
      <c r="F40" t="s">
        <v>321</v>
      </c>
      <c r="G40" t="s">
        <v>10</v>
      </c>
      <c r="H40" t="s">
        <v>364</v>
      </c>
    </row>
    <row r="41" spans="1:8" x14ac:dyDescent="0.2">
      <c r="A41" t="s">
        <v>352</v>
      </c>
      <c r="D41" s="3">
        <v>7.8</v>
      </c>
      <c r="E41" s="3">
        <v>10</v>
      </c>
      <c r="F41" t="s">
        <v>321</v>
      </c>
      <c r="G41" t="s">
        <v>10</v>
      </c>
      <c r="H41" t="s">
        <v>365</v>
      </c>
    </row>
    <row r="42" spans="1:8" x14ac:dyDescent="0.2">
      <c r="A42" t="s">
        <v>366</v>
      </c>
      <c r="B42" s="3">
        <v>20.994599999999998</v>
      </c>
      <c r="C42">
        <v>120</v>
      </c>
      <c r="D42" s="3">
        <v>5.7</v>
      </c>
      <c r="E42" s="3">
        <v>8</v>
      </c>
      <c r="F42" t="s">
        <v>321</v>
      </c>
      <c r="G42" t="s">
        <v>10</v>
      </c>
      <c r="H42" t="s">
        <v>364</v>
      </c>
    </row>
    <row r="43" spans="1:8" x14ac:dyDescent="0.2">
      <c r="A43" t="s">
        <v>367</v>
      </c>
      <c r="B43" s="3">
        <v>6.6298000000000004</v>
      </c>
      <c r="C43">
        <v>120</v>
      </c>
      <c r="D43" s="3">
        <v>5.7</v>
      </c>
      <c r="E43" s="3">
        <v>8</v>
      </c>
      <c r="F43" t="s">
        <v>321</v>
      </c>
      <c r="G43" t="s">
        <v>10</v>
      </c>
      <c r="H43" t="s">
        <v>368</v>
      </c>
    </row>
    <row r="44" spans="1:8" x14ac:dyDescent="0.2">
      <c r="A44" t="s">
        <v>369</v>
      </c>
      <c r="B44" s="3">
        <v>5</v>
      </c>
      <c r="C44">
        <v>120</v>
      </c>
      <c r="D44" s="3">
        <v>5.9</v>
      </c>
      <c r="E44" s="3">
        <v>8</v>
      </c>
      <c r="F44" t="s">
        <v>321</v>
      </c>
      <c r="G44" t="s">
        <v>10</v>
      </c>
      <c r="H44" t="s">
        <v>370</v>
      </c>
    </row>
    <row r="45" spans="1:8" x14ac:dyDescent="0.2">
      <c r="A45" t="s">
        <v>371</v>
      </c>
      <c r="B45" s="3">
        <v>20.994599999999998</v>
      </c>
      <c r="C45">
        <v>160</v>
      </c>
      <c r="D45">
        <v>48</v>
      </c>
      <c r="E45">
        <v>29</v>
      </c>
      <c r="F45" t="s">
        <v>372</v>
      </c>
      <c r="G45" t="s">
        <v>373</v>
      </c>
      <c r="H45" t="s">
        <v>374</v>
      </c>
    </row>
    <row r="46" spans="1:8" x14ac:dyDescent="0.2">
      <c r="A46" t="s">
        <v>375</v>
      </c>
      <c r="B46" s="3">
        <v>16.9712</v>
      </c>
      <c r="C46">
        <v>160</v>
      </c>
      <c r="D46">
        <v>39</v>
      </c>
      <c r="E46">
        <v>28</v>
      </c>
      <c r="F46" t="s">
        <v>372</v>
      </c>
      <c r="G46" t="s">
        <v>373</v>
      </c>
      <c r="H46" t="s">
        <v>374</v>
      </c>
    </row>
    <row r="47" spans="1:8" x14ac:dyDescent="0.2">
      <c r="A47" t="s">
        <v>376</v>
      </c>
      <c r="B47" s="3">
        <v>6.6298000000000004</v>
      </c>
      <c r="C47">
        <v>160</v>
      </c>
      <c r="D47">
        <v>16</v>
      </c>
      <c r="E47">
        <v>28</v>
      </c>
      <c r="F47" t="s">
        <v>372</v>
      </c>
      <c r="G47" t="s">
        <v>10</v>
      </c>
      <c r="H47" t="s">
        <v>374</v>
      </c>
    </row>
    <row r="48" spans="1:8" x14ac:dyDescent="0.2">
      <c r="A48" t="s">
        <v>377</v>
      </c>
      <c r="B48" s="3">
        <v>5</v>
      </c>
      <c r="C48">
        <v>160</v>
      </c>
      <c r="D48">
        <v>15</v>
      </c>
      <c r="E48">
        <v>28</v>
      </c>
      <c r="F48" t="s">
        <v>372</v>
      </c>
      <c r="G48" t="s">
        <v>10</v>
      </c>
      <c r="H48" t="s">
        <v>374</v>
      </c>
    </row>
    <row r="50" spans="1:6" x14ac:dyDescent="0.2">
      <c r="A50" t="s">
        <v>378</v>
      </c>
      <c r="B50">
        <v>37.448300000000003</v>
      </c>
      <c r="C50" t="s">
        <v>36</v>
      </c>
    </row>
    <row r="51" spans="1:6" x14ac:dyDescent="0.2">
      <c r="A51" t="s">
        <v>379</v>
      </c>
      <c r="B51" s="2">
        <v>1.3651</v>
      </c>
      <c r="C51" t="s">
        <v>380</v>
      </c>
    </row>
    <row r="52" spans="1:6" x14ac:dyDescent="0.2">
      <c r="A52" t="s">
        <v>381</v>
      </c>
      <c r="B52" s="2">
        <v>1.5</v>
      </c>
    </row>
    <row r="53" spans="1:6" x14ac:dyDescent="0.2">
      <c r="A53" t="s">
        <v>382</v>
      </c>
      <c r="B53" t="s">
        <v>383</v>
      </c>
    </row>
    <row r="55" spans="1:6" ht="32" x14ac:dyDescent="0.2">
      <c r="A55" s="1" t="s">
        <v>384</v>
      </c>
      <c r="B55" s="1" t="s">
        <v>385</v>
      </c>
      <c r="C55" s="1" t="s">
        <v>386</v>
      </c>
      <c r="D55" s="1" t="s">
        <v>387</v>
      </c>
      <c r="E55" s="1" t="s">
        <v>388</v>
      </c>
      <c r="F55" s="1" t="s">
        <v>389</v>
      </c>
    </row>
    <row r="56" spans="1:6" x14ac:dyDescent="0.2">
      <c r="A56" s="3">
        <v>0</v>
      </c>
      <c r="B56" s="2">
        <v>0</v>
      </c>
      <c r="C56" s="2">
        <v>4.6943999999999999</v>
      </c>
      <c r="D56" s="2">
        <v>-4.6943999999999999</v>
      </c>
      <c r="E56" s="2">
        <v>0</v>
      </c>
      <c r="F56" s="3">
        <v>0</v>
      </c>
    </row>
    <row r="57" spans="1:6" x14ac:dyDescent="0.2">
      <c r="A57" s="3">
        <v>0.60960000000000003</v>
      </c>
      <c r="B57" s="2">
        <v>0</v>
      </c>
      <c r="C57" s="2">
        <v>4.7834000000000003</v>
      </c>
      <c r="D57" s="2">
        <v>-4.7834000000000003</v>
      </c>
      <c r="E57" s="2">
        <v>-2.8299999999999999E-2</v>
      </c>
      <c r="F57" s="3">
        <v>-8.9999999999999993E-3</v>
      </c>
    </row>
    <row r="58" spans="1:6" x14ac:dyDescent="0.2">
      <c r="A58" s="3">
        <v>1.2192000000000001</v>
      </c>
      <c r="B58" s="2">
        <v>0</v>
      </c>
      <c r="C58" s="2">
        <v>4.8266999999999998</v>
      </c>
      <c r="D58" s="2">
        <v>-4.8266999999999998</v>
      </c>
      <c r="E58" s="2">
        <v>-5.7000000000000002E-2</v>
      </c>
      <c r="F58" s="3">
        <v>-3.5299999999999998E-2</v>
      </c>
    </row>
    <row r="59" spans="1:6" x14ac:dyDescent="0.2">
      <c r="A59" s="3">
        <v>1.8288</v>
      </c>
      <c r="B59" s="2">
        <v>0</v>
      </c>
      <c r="C59" s="2">
        <v>4.8707000000000003</v>
      </c>
      <c r="D59" s="2">
        <v>-4.8707000000000003</v>
      </c>
      <c r="E59" s="2">
        <v>-8.6099999999999996E-2</v>
      </c>
      <c r="F59" s="3">
        <v>-7.9299999999999995E-2</v>
      </c>
    </row>
    <row r="60" spans="1:6" x14ac:dyDescent="0.2">
      <c r="A60" s="3">
        <v>2.4384000000000001</v>
      </c>
      <c r="B60" s="2">
        <v>0</v>
      </c>
      <c r="C60" s="2">
        <v>4.9414999999999996</v>
      </c>
      <c r="D60" s="2">
        <v>-4.9414999999999996</v>
      </c>
      <c r="E60" s="2">
        <v>-0.1154</v>
      </c>
      <c r="F60" s="3">
        <v>-0.14099999999999999</v>
      </c>
    </row>
    <row r="61" spans="1:6" x14ac:dyDescent="0.2">
      <c r="A61" s="3">
        <v>3.048</v>
      </c>
      <c r="B61" s="2">
        <v>46.232500000000002</v>
      </c>
      <c r="C61" s="2">
        <v>4.9668999999999999</v>
      </c>
      <c r="D61" s="2">
        <v>41.265599999999999</v>
      </c>
      <c r="E61" s="2">
        <v>-0.14499999999999999</v>
      </c>
      <c r="F61" s="3">
        <v>-0.2208</v>
      </c>
    </row>
    <row r="62" spans="1:6" x14ac:dyDescent="0.2">
      <c r="A62" s="3">
        <v>3.6576</v>
      </c>
      <c r="B62" s="2">
        <v>0</v>
      </c>
      <c r="C62" s="2">
        <v>4.9802</v>
      </c>
      <c r="D62" s="2">
        <v>-4.9802</v>
      </c>
      <c r="E62" s="2">
        <v>2.5399999999999999E-2</v>
      </c>
      <c r="F62" s="3">
        <v>-0.23180000000000001</v>
      </c>
    </row>
    <row r="63" spans="1:6" x14ac:dyDescent="0.2">
      <c r="A63" s="3">
        <v>4.2671999999999999</v>
      </c>
      <c r="B63" s="2">
        <v>0</v>
      </c>
      <c r="C63" s="2">
        <v>4.9970999999999997</v>
      </c>
      <c r="D63" s="2">
        <v>-4.9970999999999997</v>
      </c>
      <c r="E63" s="2">
        <v>-4.4999999999999997E-3</v>
      </c>
      <c r="F63" s="3">
        <v>-0.2258</v>
      </c>
    </row>
    <row r="64" spans="1:6" x14ac:dyDescent="0.2">
      <c r="A64" s="3">
        <v>4.8768000000000002</v>
      </c>
      <c r="B64" s="2">
        <v>0</v>
      </c>
      <c r="C64" s="2">
        <v>4.9638999999999998</v>
      </c>
      <c r="D64" s="2">
        <v>-4.9638999999999998</v>
      </c>
      <c r="E64" s="2">
        <v>-3.44E-2</v>
      </c>
      <c r="F64" s="3">
        <v>-0.23799999999999999</v>
      </c>
    </row>
    <row r="65" spans="1:6" x14ac:dyDescent="0.2">
      <c r="A65" s="3">
        <v>5.4863999999999997</v>
      </c>
      <c r="B65" s="2">
        <v>0</v>
      </c>
      <c r="C65" s="2">
        <v>4.9366000000000003</v>
      </c>
      <c r="D65" s="2">
        <v>-4.9366000000000003</v>
      </c>
      <c r="E65" s="2">
        <v>-6.4000000000000001E-2</v>
      </c>
      <c r="F65" s="3">
        <v>-0.26840000000000003</v>
      </c>
    </row>
    <row r="66" spans="1:6" x14ac:dyDescent="0.2">
      <c r="A66" s="3">
        <v>6.0960000000000001</v>
      </c>
      <c r="B66" s="2">
        <v>0</v>
      </c>
      <c r="C66" s="2">
        <v>4.8590999999999998</v>
      </c>
      <c r="D66" s="2">
        <v>-4.8590999999999998</v>
      </c>
      <c r="E66" s="2">
        <v>-9.3399999999999997E-2</v>
      </c>
      <c r="F66" s="3">
        <v>-0.31680000000000003</v>
      </c>
    </row>
    <row r="67" spans="1:6" x14ac:dyDescent="0.2">
      <c r="A67" s="3">
        <v>6.7055999999999996</v>
      </c>
      <c r="B67" s="2">
        <v>0</v>
      </c>
      <c r="C67" s="2">
        <v>4.7628000000000004</v>
      </c>
      <c r="D67" s="2">
        <v>-4.7628000000000004</v>
      </c>
      <c r="E67" s="2">
        <v>1.11E-2</v>
      </c>
      <c r="F67" s="3">
        <v>-0.37280000000000002</v>
      </c>
    </row>
    <row r="68" spans="1:6" x14ac:dyDescent="0.2">
      <c r="A68" s="3">
        <v>7.3151999999999999</v>
      </c>
      <c r="B68" s="2">
        <v>39.240200000000002</v>
      </c>
      <c r="C68" s="2">
        <v>4.6093999999999999</v>
      </c>
      <c r="D68" s="2">
        <v>34.630800000000001</v>
      </c>
      <c r="E68" s="2">
        <v>8.0500000000000002E-2</v>
      </c>
      <c r="F68" s="3">
        <v>-0.36749999999999999</v>
      </c>
    </row>
    <row r="69" spans="1:6" x14ac:dyDescent="0.2">
      <c r="A69" s="3">
        <v>7.9248000000000003</v>
      </c>
      <c r="B69" s="2">
        <v>0</v>
      </c>
      <c r="C69" s="2">
        <v>4.4386000000000001</v>
      </c>
      <c r="D69" s="2">
        <v>-4.4386000000000001</v>
      </c>
      <c r="E69" s="2">
        <v>0.1119</v>
      </c>
      <c r="F69" s="3">
        <v>-0.2959</v>
      </c>
    </row>
    <row r="70" spans="1:6" x14ac:dyDescent="0.2">
      <c r="A70" s="3">
        <v>8.5343999999999998</v>
      </c>
      <c r="B70" s="2">
        <v>0</v>
      </c>
      <c r="C70" s="2">
        <v>4.2179000000000002</v>
      </c>
      <c r="D70" s="2">
        <v>-4.2179000000000002</v>
      </c>
      <c r="E70" s="2">
        <v>8.5800000000000001E-2</v>
      </c>
      <c r="F70" s="3">
        <v>-0.2361</v>
      </c>
    </row>
    <row r="71" spans="1:6" x14ac:dyDescent="0.2">
      <c r="A71" s="3">
        <v>9.1440000000000001</v>
      </c>
      <c r="B71" s="2">
        <v>0</v>
      </c>
      <c r="C71" s="2">
        <v>3.9592000000000001</v>
      </c>
      <c r="D71" s="2">
        <v>-3.9592000000000001</v>
      </c>
      <c r="E71" s="2">
        <v>6.1100000000000002E-2</v>
      </c>
      <c r="F71" s="3">
        <v>-0.1918</v>
      </c>
    </row>
    <row r="72" spans="1:6" x14ac:dyDescent="0.2">
      <c r="A72" s="3">
        <v>9.7536000000000005</v>
      </c>
      <c r="B72" s="2">
        <v>0</v>
      </c>
      <c r="C72" s="2">
        <v>3.6655000000000002</v>
      </c>
      <c r="D72" s="2">
        <v>-3.6655000000000002</v>
      </c>
      <c r="E72" s="2">
        <v>3.7999999999999999E-2</v>
      </c>
      <c r="F72" s="3">
        <v>-0.16209999999999999</v>
      </c>
    </row>
    <row r="73" spans="1:6" x14ac:dyDescent="0.2">
      <c r="A73" s="3">
        <v>10.363200000000001</v>
      </c>
      <c r="B73" s="2">
        <v>0</v>
      </c>
      <c r="C73" s="2">
        <v>3.3233999999999999</v>
      </c>
      <c r="D73" s="2">
        <v>-3.3233999999999999</v>
      </c>
      <c r="E73" s="2">
        <v>8.3500000000000005E-2</v>
      </c>
      <c r="F73" s="3">
        <v>-0.13519999999999999</v>
      </c>
    </row>
    <row r="74" spans="1:6" x14ac:dyDescent="0.2">
      <c r="A74" s="3">
        <v>10.972799999999999</v>
      </c>
      <c r="B74" s="2">
        <v>0</v>
      </c>
      <c r="C74" s="2">
        <v>2.9498000000000002</v>
      </c>
      <c r="D74" s="2">
        <v>-2.9498000000000002</v>
      </c>
      <c r="E74" s="2">
        <v>6.4399999999999999E-2</v>
      </c>
      <c r="F74" s="3">
        <v>-9.06E-2</v>
      </c>
    </row>
    <row r="75" spans="1:6" x14ac:dyDescent="0.2">
      <c r="A75" s="3">
        <v>11.5824</v>
      </c>
      <c r="B75" s="2">
        <v>0</v>
      </c>
      <c r="C75" s="2">
        <v>2.5465</v>
      </c>
      <c r="D75" s="2">
        <v>-2.5465</v>
      </c>
      <c r="E75" s="2">
        <v>4.7600000000000003E-2</v>
      </c>
      <c r="F75" s="3">
        <v>-5.7000000000000002E-2</v>
      </c>
    </row>
    <row r="76" spans="1:6" x14ac:dyDescent="0.2">
      <c r="A76" s="3">
        <v>12.192</v>
      </c>
      <c r="B76" s="2">
        <v>0</v>
      </c>
      <c r="C76" s="2">
        <v>2.105</v>
      </c>
      <c r="D76" s="2">
        <v>-2.105</v>
      </c>
      <c r="E76" s="2">
        <v>3.3300000000000003E-2</v>
      </c>
      <c r="F76" s="3">
        <v>-3.2800000000000003E-2</v>
      </c>
    </row>
    <row r="77" spans="1:6" x14ac:dyDescent="0.2">
      <c r="A77" s="3">
        <v>12.801600000000001</v>
      </c>
      <c r="B77" s="2">
        <v>0</v>
      </c>
      <c r="C77" s="2">
        <v>1.6713</v>
      </c>
      <c r="D77" s="2">
        <v>-1.6713</v>
      </c>
      <c r="E77" s="2">
        <v>2.1700000000000001E-2</v>
      </c>
      <c r="F77" s="3">
        <v>-1.6500000000000001E-2</v>
      </c>
    </row>
    <row r="78" spans="1:6" x14ac:dyDescent="0.2">
      <c r="A78" s="3">
        <v>13.411199999999999</v>
      </c>
      <c r="B78" s="2">
        <v>0</v>
      </c>
      <c r="C78" s="2">
        <v>1.2099</v>
      </c>
      <c r="D78" s="2">
        <v>-1.2099</v>
      </c>
      <c r="E78" s="2">
        <v>1.2699999999999999E-2</v>
      </c>
      <c r="F78" s="3">
        <v>-6.6E-3</v>
      </c>
    </row>
    <row r="79" spans="1:6" x14ac:dyDescent="0.2">
      <c r="A79" s="3">
        <v>14.020799999999999</v>
      </c>
      <c r="B79" s="2">
        <v>0</v>
      </c>
      <c r="C79" s="2">
        <v>0.79500000000000004</v>
      </c>
      <c r="D79" s="2">
        <v>-0.79500000000000004</v>
      </c>
      <c r="E79" s="2">
        <v>6.3E-3</v>
      </c>
      <c r="F79" s="3">
        <v>-1.2999999999999999E-3</v>
      </c>
    </row>
    <row r="80" spans="1:6" x14ac:dyDescent="0.2">
      <c r="A80" s="3">
        <v>14.6304</v>
      </c>
      <c r="B80" s="2">
        <v>0</v>
      </c>
      <c r="C80" s="2">
        <v>0.42</v>
      </c>
      <c r="D80" s="2">
        <v>-0.42</v>
      </c>
      <c r="E80" s="2">
        <v>2.3999999999999998E-3</v>
      </c>
      <c r="F80" s="3">
        <v>8.9999999999999998E-4</v>
      </c>
    </row>
    <row r="81" spans="1:6" x14ac:dyDescent="0.2">
      <c r="A81" s="3">
        <v>15.24</v>
      </c>
      <c r="B81" s="2">
        <v>0</v>
      </c>
      <c r="C81" s="2">
        <v>0.12</v>
      </c>
      <c r="D81" s="2">
        <v>-0.12</v>
      </c>
      <c r="E81" s="2">
        <v>5.9999999999999995E-4</v>
      </c>
      <c r="F81" s="3">
        <v>1.4E-3</v>
      </c>
    </row>
    <row r="82" spans="1:6" x14ac:dyDescent="0.2">
      <c r="A82" s="3">
        <v>15.849600000000001</v>
      </c>
      <c r="B82" s="2">
        <v>0</v>
      </c>
      <c r="C82" s="2">
        <v>0</v>
      </c>
      <c r="D82" s="2">
        <v>0</v>
      </c>
      <c r="E82" s="2">
        <v>2.0000000000000001E-4</v>
      </c>
      <c r="F82" s="3">
        <v>1.1999999999999999E-3</v>
      </c>
    </row>
    <row r="83" spans="1:6" x14ac:dyDescent="0.2">
      <c r="A83" s="3">
        <v>16.459199999999999</v>
      </c>
      <c r="B83" s="2">
        <v>0</v>
      </c>
      <c r="C83" s="2">
        <v>0</v>
      </c>
      <c r="D83" s="2">
        <v>0</v>
      </c>
      <c r="E83" s="2">
        <v>2.0000000000000001E-4</v>
      </c>
      <c r="F83" s="3">
        <v>8.9999999999999998E-4</v>
      </c>
    </row>
    <row r="84" spans="1:6" x14ac:dyDescent="0.2">
      <c r="A84" s="3">
        <v>17.0688</v>
      </c>
      <c r="B84" s="2">
        <v>0</v>
      </c>
      <c r="C84" s="2">
        <v>0</v>
      </c>
      <c r="D84" s="2">
        <v>0</v>
      </c>
      <c r="E84" s="2">
        <v>1E-4</v>
      </c>
      <c r="F84" s="3">
        <v>6.9999999999999999E-4</v>
      </c>
    </row>
    <row r="85" spans="1:6" x14ac:dyDescent="0.2">
      <c r="A85" s="3">
        <v>17.6784</v>
      </c>
      <c r="B85" s="2">
        <v>0</v>
      </c>
      <c r="C85" s="2">
        <v>0</v>
      </c>
      <c r="D85" s="2">
        <v>0</v>
      </c>
      <c r="E85" s="2">
        <v>1E-4</v>
      </c>
      <c r="F85" s="3">
        <v>2.9999999999999997E-4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5"/>
  <sheetViews>
    <sheetView workbookViewId="0"/>
  </sheetViews>
  <sheetFormatPr baseColWidth="10" defaultColWidth="8.83203125" defaultRowHeight="15" x14ac:dyDescent="0.2"/>
  <cols>
    <col min="1" max="2" width="10" customWidth="1"/>
    <col min="3" max="12" width="11" customWidth="1"/>
  </cols>
  <sheetData>
    <row r="1" spans="1:13" x14ac:dyDescent="0.2">
      <c r="A1" s="4" t="s">
        <v>390</v>
      </c>
    </row>
    <row r="2" spans="1:13" x14ac:dyDescent="0.2">
      <c r="A2" t="s">
        <v>124</v>
      </c>
      <c r="B2" s="2">
        <v>18.288</v>
      </c>
      <c r="C2" t="s">
        <v>125</v>
      </c>
      <c r="D2" s="2">
        <v>6.3254999999999999</v>
      </c>
      <c r="E2" t="s">
        <v>391</v>
      </c>
      <c r="F2" s="2">
        <v>3.048</v>
      </c>
      <c r="G2" t="s">
        <v>162</v>
      </c>
      <c r="H2" s="2">
        <v>1.611</v>
      </c>
    </row>
    <row r="3" spans="1:13" x14ac:dyDescent="0.2">
      <c r="A3" t="s">
        <v>392</v>
      </c>
    </row>
    <row r="4" spans="1:13" ht="32" x14ac:dyDescent="0.2">
      <c r="A4" s="1" t="s">
        <v>393</v>
      </c>
      <c r="B4" s="1" t="s">
        <v>394</v>
      </c>
      <c r="C4" s="1" t="s">
        <v>395</v>
      </c>
      <c r="D4" s="1" t="s">
        <v>396</v>
      </c>
      <c r="E4" s="1" t="s">
        <v>397</v>
      </c>
      <c r="F4" s="1" t="s">
        <v>398</v>
      </c>
      <c r="G4" s="1" t="s">
        <v>399</v>
      </c>
      <c r="H4" s="1" t="s">
        <v>400</v>
      </c>
      <c r="I4" s="1" t="s">
        <v>401</v>
      </c>
      <c r="J4" s="1" t="s">
        <v>402</v>
      </c>
      <c r="K4" s="1" t="s">
        <v>403</v>
      </c>
      <c r="L4" s="1" t="s">
        <v>404</v>
      </c>
      <c r="M4" s="1" t="s">
        <v>405</v>
      </c>
    </row>
    <row r="5" spans="1:13" x14ac:dyDescent="0.2">
      <c r="A5">
        <v>0</v>
      </c>
      <c r="B5" s="2">
        <v>0</v>
      </c>
      <c r="D5" s="2">
        <v>1.0472999999999999</v>
      </c>
      <c r="E5" s="2">
        <v>1.5411999999999999</v>
      </c>
      <c r="F5" s="2">
        <v>1.5881000000000001</v>
      </c>
      <c r="G5" s="2">
        <v>1.6649</v>
      </c>
      <c r="H5" s="2">
        <v>1.7737000000000001</v>
      </c>
      <c r="I5" s="2">
        <v>1.9182999999999999</v>
      </c>
      <c r="J5" s="2">
        <v>2.1042000000000001</v>
      </c>
      <c r="K5" s="2">
        <v>2.3407</v>
      </c>
      <c r="L5" s="2">
        <v>2.6440999999999999</v>
      </c>
      <c r="M5" s="2">
        <v>3.048</v>
      </c>
    </row>
    <row r="6" spans="1:13" x14ac:dyDescent="0.2">
      <c r="A6">
        <v>1</v>
      </c>
      <c r="B6" s="2">
        <v>0.91439999999999999</v>
      </c>
      <c r="C6" t="s">
        <v>7</v>
      </c>
      <c r="D6" s="2">
        <v>1.0654999999999999</v>
      </c>
      <c r="E6" s="2">
        <v>1.6085</v>
      </c>
      <c r="F6" s="2">
        <v>1.6479999999999999</v>
      </c>
      <c r="G6" s="2">
        <v>1.7151000000000001</v>
      </c>
      <c r="H6" s="2">
        <v>1.8129</v>
      </c>
      <c r="I6" s="2">
        <v>1.9462999999999999</v>
      </c>
      <c r="J6" s="2">
        <v>2.1215999999999999</v>
      </c>
      <c r="K6" s="2">
        <v>2.3491</v>
      </c>
      <c r="L6" s="2">
        <v>2.6467999999999998</v>
      </c>
      <c r="M6" s="2">
        <v>3.0514999999999999</v>
      </c>
    </row>
    <row r="7" spans="1:13" x14ac:dyDescent="0.2">
      <c r="A7">
        <v>2</v>
      </c>
      <c r="B7" s="2">
        <v>1.8288</v>
      </c>
      <c r="C7" t="s">
        <v>7</v>
      </c>
      <c r="D7" s="2">
        <v>1.0828</v>
      </c>
      <c r="E7" s="2">
        <v>1.6734</v>
      </c>
      <c r="F7" s="2">
        <v>1.7078</v>
      </c>
      <c r="G7" s="2">
        <v>1.7673000000000001</v>
      </c>
      <c r="H7" s="2">
        <v>1.8560000000000001</v>
      </c>
      <c r="I7" s="2">
        <v>1.9794</v>
      </c>
      <c r="J7" s="2">
        <v>2.1448999999999998</v>
      </c>
      <c r="K7" s="2">
        <v>2.3637999999999999</v>
      </c>
      <c r="L7" s="2">
        <v>2.6556999999999999</v>
      </c>
      <c r="M7" s="2">
        <v>3.0613999999999999</v>
      </c>
    </row>
    <row r="8" spans="1:13" x14ac:dyDescent="0.2">
      <c r="A8">
        <v>3</v>
      </c>
      <c r="B8" s="2">
        <v>2.7431999999999999</v>
      </c>
      <c r="C8" t="s">
        <v>7</v>
      </c>
      <c r="D8" s="2">
        <v>1.0949</v>
      </c>
      <c r="E8" s="2">
        <v>1.7319</v>
      </c>
      <c r="F8" s="2">
        <v>1.7629999999999999</v>
      </c>
      <c r="G8" s="2">
        <v>1.8173999999999999</v>
      </c>
      <c r="H8" s="2">
        <v>1.8993</v>
      </c>
      <c r="I8" s="2">
        <v>2.0148000000000001</v>
      </c>
      <c r="J8" s="2">
        <v>2.1720000000000002</v>
      </c>
      <c r="K8" s="2">
        <v>2.3833000000000002</v>
      </c>
      <c r="L8" s="2">
        <v>2.67</v>
      </c>
      <c r="M8" s="2">
        <v>3.077</v>
      </c>
    </row>
    <row r="9" spans="1:13" x14ac:dyDescent="0.2">
      <c r="A9">
        <v>4</v>
      </c>
      <c r="B9" s="2">
        <v>3.6576</v>
      </c>
      <c r="C9" t="s">
        <v>7</v>
      </c>
      <c r="D9" s="2">
        <v>1.0973999999999999</v>
      </c>
      <c r="E9" s="2">
        <v>1.6114999999999999</v>
      </c>
      <c r="F9" s="2">
        <v>1.8092999999999999</v>
      </c>
      <c r="G9" s="2">
        <v>1.861</v>
      </c>
      <c r="H9" s="2">
        <v>1.9388000000000001</v>
      </c>
      <c r="I9" s="2">
        <v>2.0491000000000001</v>
      </c>
      <c r="J9" s="2">
        <v>2.2002999999999999</v>
      </c>
      <c r="K9" s="2">
        <v>2.4056999999999999</v>
      </c>
      <c r="L9" s="2">
        <v>2.6880999999999999</v>
      </c>
      <c r="M9" s="2">
        <v>3.0969000000000002</v>
      </c>
    </row>
    <row r="10" spans="1:13" x14ac:dyDescent="0.2">
      <c r="A10">
        <v>5</v>
      </c>
      <c r="B10" s="2">
        <v>4.5720000000000001</v>
      </c>
      <c r="C10" t="s">
        <v>7</v>
      </c>
      <c r="D10" s="2">
        <v>1.0862000000000001</v>
      </c>
      <c r="E10" s="2">
        <v>1.5772999999999999</v>
      </c>
      <c r="F10" s="2">
        <v>1.8424</v>
      </c>
      <c r="G10" s="2">
        <v>1.8935</v>
      </c>
      <c r="H10" s="2">
        <v>1.9701</v>
      </c>
      <c r="I10" s="2">
        <v>2.0781000000000001</v>
      </c>
      <c r="J10" s="2">
        <v>2.2263000000000002</v>
      </c>
      <c r="K10" s="2">
        <v>2.4281999999999999</v>
      </c>
      <c r="L10" s="2">
        <v>2.7081</v>
      </c>
      <c r="M10" s="2">
        <v>3.1190000000000002</v>
      </c>
    </row>
    <row r="11" spans="1:13" x14ac:dyDescent="0.2">
      <c r="A11">
        <v>6</v>
      </c>
      <c r="B11" s="2">
        <v>5.4863999999999997</v>
      </c>
      <c r="C11" t="s">
        <v>7</v>
      </c>
      <c r="D11" s="2">
        <v>1.0565</v>
      </c>
      <c r="E11" s="2">
        <v>1.5617000000000001</v>
      </c>
      <c r="F11" s="2">
        <v>1.8577999999999999</v>
      </c>
      <c r="G11" s="2">
        <v>1.9103000000000001</v>
      </c>
      <c r="H11" s="2">
        <v>1.9883</v>
      </c>
      <c r="I11" s="2">
        <v>2.0973000000000002</v>
      </c>
      <c r="J11" s="2">
        <v>2.2456</v>
      </c>
      <c r="K11" s="2">
        <v>2.4472</v>
      </c>
      <c r="L11" s="2">
        <v>2.7267999999999999</v>
      </c>
      <c r="M11" s="2">
        <v>3.1404000000000001</v>
      </c>
    </row>
    <row r="12" spans="1:13" x14ac:dyDescent="0.2">
      <c r="A12">
        <v>7</v>
      </c>
      <c r="B12" s="2">
        <v>6.4008000000000003</v>
      </c>
      <c r="C12" t="s">
        <v>7</v>
      </c>
      <c r="D12" s="2">
        <v>1.0039</v>
      </c>
      <c r="E12" s="2">
        <v>1.5258</v>
      </c>
      <c r="F12" s="2">
        <v>1.8516999999999999</v>
      </c>
      <c r="G12" s="2">
        <v>1.9072</v>
      </c>
      <c r="H12" s="2">
        <v>1.9886999999999999</v>
      </c>
      <c r="I12" s="2">
        <v>2.1015999999999999</v>
      </c>
      <c r="J12" s="2">
        <v>2.2536999999999998</v>
      </c>
      <c r="K12" s="2">
        <v>2.4582999999999999</v>
      </c>
      <c r="L12" s="2">
        <v>2.7404000000000002</v>
      </c>
      <c r="M12" s="2">
        <v>3.1568000000000001</v>
      </c>
    </row>
    <row r="13" spans="1:13" x14ac:dyDescent="0.2">
      <c r="A13">
        <v>8</v>
      </c>
      <c r="B13" s="2">
        <v>7.3151999999999999</v>
      </c>
      <c r="C13" t="s">
        <v>7</v>
      </c>
      <c r="D13" s="2">
        <v>0.92320000000000002</v>
      </c>
      <c r="E13" s="2">
        <v>1.4654</v>
      </c>
      <c r="F13" s="2">
        <v>1.82</v>
      </c>
      <c r="G13" s="2">
        <v>1.8797999999999999</v>
      </c>
      <c r="H13" s="2">
        <v>1.9669000000000001</v>
      </c>
      <c r="I13" s="2">
        <v>2.0863</v>
      </c>
      <c r="J13" s="2">
        <v>2.2450999999999999</v>
      </c>
      <c r="K13" s="2">
        <v>2.4561000000000002</v>
      </c>
      <c r="L13" s="2">
        <v>2.7435999999999998</v>
      </c>
      <c r="M13" s="2">
        <v>3.1627000000000001</v>
      </c>
    </row>
    <row r="14" spans="1:13" x14ac:dyDescent="0.2">
      <c r="A14">
        <v>9</v>
      </c>
      <c r="B14" s="2">
        <v>8.2295999999999996</v>
      </c>
      <c r="C14" t="s">
        <v>7</v>
      </c>
      <c r="D14" s="2">
        <v>0.8085</v>
      </c>
      <c r="E14" s="2">
        <v>1.3764000000000001</v>
      </c>
      <c r="F14" s="2">
        <v>1.7589999999999999</v>
      </c>
      <c r="G14" s="2">
        <v>1.8243</v>
      </c>
      <c r="H14" s="2">
        <v>1.9187000000000001</v>
      </c>
      <c r="I14" s="2">
        <v>2.0465</v>
      </c>
      <c r="J14" s="2">
        <v>2.2147000000000001</v>
      </c>
      <c r="K14" s="2">
        <v>2.4350000000000001</v>
      </c>
      <c r="L14" s="2">
        <v>2.73</v>
      </c>
      <c r="M14" s="2">
        <v>3.1507000000000001</v>
      </c>
    </row>
    <row r="15" spans="1:13" x14ac:dyDescent="0.2">
      <c r="A15">
        <v>10</v>
      </c>
      <c r="B15" s="2">
        <v>9.1440000000000001</v>
      </c>
      <c r="C15" t="s">
        <v>7</v>
      </c>
      <c r="D15" s="2">
        <v>0.65039999999999998</v>
      </c>
      <c r="E15" s="2">
        <v>1.2546999999999999</v>
      </c>
      <c r="F15" s="2">
        <v>1.6578999999999999</v>
      </c>
      <c r="G15" s="2">
        <v>1.7371000000000001</v>
      </c>
      <c r="H15" s="2">
        <v>1.8401000000000001</v>
      </c>
      <c r="I15" s="2">
        <v>1.9781</v>
      </c>
      <c r="J15" s="2">
        <v>2.1573000000000002</v>
      </c>
      <c r="K15" s="2">
        <v>2.3885999999999998</v>
      </c>
      <c r="L15" s="2">
        <v>2.6922000000000001</v>
      </c>
      <c r="M15" s="2">
        <v>3.1122000000000001</v>
      </c>
    </row>
    <row r="16" spans="1:13" x14ac:dyDescent="0.2">
      <c r="A16">
        <v>11</v>
      </c>
      <c r="B16" s="2">
        <v>10.058400000000001</v>
      </c>
      <c r="C16" t="s">
        <v>7</v>
      </c>
      <c r="D16" s="2">
        <v>0.42470000000000002</v>
      </c>
      <c r="E16" s="2">
        <v>1.0954999999999999</v>
      </c>
      <c r="F16" s="2">
        <v>1.5172000000000001</v>
      </c>
      <c r="G16" s="2">
        <v>1.6148</v>
      </c>
      <c r="H16" s="2">
        <v>1.7276</v>
      </c>
      <c r="I16" s="2">
        <v>1.8767</v>
      </c>
      <c r="J16" s="2">
        <v>2.0678000000000001</v>
      </c>
      <c r="K16" s="2">
        <v>2.3106</v>
      </c>
      <c r="L16" s="2">
        <v>2.6219999999999999</v>
      </c>
      <c r="M16" s="2">
        <v>3.0375000000000001</v>
      </c>
    </row>
    <row r="17" spans="1:13" x14ac:dyDescent="0.2">
      <c r="A17">
        <v>12</v>
      </c>
      <c r="B17" s="2">
        <v>10.972799999999999</v>
      </c>
      <c r="C17" t="s">
        <v>7</v>
      </c>
      <c r="D17" t="s">
        <v>7</v>
      </c>
      <c r="E17" s="2">
        <v>0.89239999999999997</v>
      </c>
      <c r="F17" s="2">
        <v>1.2833000000000001</v>
      </c>
      <c r="G17" s="2">
        <v>1.4559</v>
      </c>
      <c r="H17" s="2">
        <v>1.5791999999999999</v>
      </c>
      <c r="I17" s="2">
        <v>1.7396</v>
      </c>
      <c r="J17" s="2">
        <v>1.9419999999999999</v>
      </c>
      <c r="K17" s="2">
        <v>2.1945000000000001</v>
      </c>
      <c r="L17" s="2">
        <v>2.5106999999999999</v>
      </c>
      <c r="M17" s="2">
        <v>2.9174000000000002</v>
      </c>
    </row>
    <row r="18" spans="1:13" x14ac:dyDescent="0.2">
      <c r="A18">
        <v>13</v>
      </c>
      <c r="B18" s="2">
        <v>11.8872</v>
      </c>
      <c r="C18" t="s">
        <v>7</v>
      </c>
      <c r="D18" t="s">
        <v>7</v>
      </c>
      <c r="E18" s="2">
        <v>0.62829999999999997</v>
      </c>
      <c r="F18" s="2">
        <v>1.0528999999999999</v>
      </c>
      <c r="G18" s="2">
        <v>1.2637</v>
      </c>
      <c r="H18" s="2">
        <v>1.3959999999999999</v>
      </c>
      <c r="I18" s="2">
        <v>1.5650999999999999</v>
      </c>
      <c r="J18" s="2">
        <v>1.7753000000000001</v>
      </c>
      <c r="K18" s="2">
        <v>2.0331999999999999</v>
      </c>
      <c r="L18" s="2">
        <v>2.3494999999999999</v>
      </c>
      <c r="M18" s="2">
        <v>2.7446000000000002</v>
      </c>
    </row>
    <row r="19" spans="1:13" x14ac:dyDescent="0.2">
      <c r="A19">
        <v>14</v>
      </c>
      <c r="B19" s="2">
        <v>12.801600000000001</v>
      </c>
      <c r="C19" t="s">
        <v>7</v>
      </c>
      <c r="D19" t="s">
        <v>7</v>
      </c>
      <c r="E19" s="2">
        <v>0.21659999999999999</v>
      </c>
      <c r="F19" s="2">
        <v>0.7671</v>
      </c>
      <c r="G19" s="2">
        <v>1.0411999999999999</v>
      </c>
      <c r="H19" s="2">
        <v>1.1781999999999999</v>
      </c>
      <c r="I19" s="2">
        <v>1.3512</v>
      </c>
      <c r="J19" s="2">
        <v>1.5638000000000001</v>
      </c>
      <c r="K19" s="2">
        <v>1.8211999999999999</v>
      </c>
      <c r="L19" s="2">
        <v>2.1326999999999998</v>
      </c>
      <c r="M19" s="2">
        <v>2.5145</v>
      </c>
    </row>
    <row r="20" spans="1:13" x14ac:dyDescent="0.2">
      <c r="A20">
        <v>15</v>
      </c>
      <c r="B20" s="2">
        <v>13.715999999999999</v>
      </c>
      <c r="C20" t="s">
        <v>7</v>
      </c>
      <c r="D20" t="s">
        <v>7</v>
      </c>
      <c r="E20" t="s">
        <v>7</v>
      </c>
      <c r="F20" s="2">
        <v>0.39040000000000002</v>
      </c>
      <c r="G20" s="2">
        <v>0.79159999999999997</v>
      </c>
      <c r="H20" s="2">
        <v>0.92700000000000005</v>
      </c>
      <c r="I20" s="2">
        <v>1.0973999999999999</v>
      </c>
      <c r="J20" s="2">
        <v>1.3058000000000001</v>
      </c>
      <c r="K20" s="2">
        <v>1.5569</v>
      </c>
      <c r="L20" s="2">
        <v>1.8589</v>
      </c>
      <c r="M20" s="2">
        <v>2.2267000000000001</v>
      </c>
    </row>
    <row r="21" spans="1:13" x14ac:dyDescent="0.2">
      <c r="A21">
        <v>16</v>
      </c>
      <c r="B21" s="2">
        <v>14.6304</v>
      </c>
      <c r="C21" t="s">
        <v>7</v>
      </c>
      <c r="D21" t="s">
        <v>7</v>
      </c>
      <c r="E21" t="s">
        <v>7</v>
      </c>
      <c r="F21" t="s">
        <v>7</v>
      </c>
      <c r="G21" s="2">
        <v>0.35189999999999999</v>
      </c>
      <c r="H21" s="2">
        <v>0.64700000000000002</v>
      </c>
      <c r="I21" s="2">
        <v>0.80700000000000005</v>
      </c>
      <c r="J21" s="2">
        <v>1.0038</v>
      </c>
      <c r="K21" s="2">
        <v>1.2422</v>
      </c>
      <c r="L21" s="2">
        <v>1.5306</v>
      </c>
      <c r="M21" s="2">
        <v>1.8838999999999999</v>
      </c>
    </row>
    <row r="22" spans="1:13" x14ac:dyDescent="0.2">
      <c r="A22">
        <v>17</v>
      </c>
      <c r="B22" s="2">
        <v>15.5448</v>
      </c>
      <c r="C22" t="s">
        <v>7</v>
      </c>
      <c r="D22" t="s">
        <v>7</v>
      </c>
      <c r="E22" t="s">
        <v>7</v>
      </c>
      <c r="F22" t="s">
        <v>7</v>
      </c>
      <c r="G22" t="s">
        <v>7</v>
      </c>
      <c r="H22" s="2">
        <v>0.20300000000000001</v>
      </c>
      <c r="I22" s="2">
        <v>0.48980000000000001</v>
      </c>
      <c r="J22" s="2">
        <v>0.66569999999999996</v>
      </c>
      <c r="K22" s="2">
        <v>0.88370000000000004</v>
      </c>
      <c r="L22" s="2">
        <v>1.1531</v>
      </c>
      <c r="M22" s="2">
        <v>1.4910000000000001</v>
      </c>
    </row>
    <row r="23" spans="1:13" x14ac:dyDescent="0.2">
      <c r="A23">
        <v>18</v>
      </c>
      <c r="B23" s="2">
        <v>16.459199999999999</v>
      </c>
      <c r="C23" t="s">
        <v>7</v>
      </c>
      <c r="D23" t="s">
        <v>7</v>
      </c>
      <c r="E23" t="s">
        <v>7</v>
      </c>
      <c r="F23" t="s">
        <v>7</v>
      </c>
      <c r="G23" t="s">
        <v>7</v>
      </c>
      <c r="H23" t="s">
        <v>7</v>
      </c>
      <c r="I23" t="s">
        <v>7</v>
      </c>
      <c r="J23" s="2">
        <v>0.30969999999999998</v>
      </c>
      <c r="K23" s="2">
        <v>0.49340000000000001</v>
      </c>
      <c r="L23" s="2">
        <v>0.73429999999999995</v>
      </c>
      <c r="M23" s="2">
        <v>1.0541</v>
      </c>
    </row>
    <row r="24" spans="1:13" x14ac:dyDescent="0.2">
      <c r="A24">
        <v>19</v>
      </c>
      <c r="B24" s="2">
        <v>17.3736</v>
      </c>
      <c r="C24" t="s">
        <v>7</v>
      </c>
      <c r="D24" t="s">
        <v>7</v>
      </c>
      <c r="E24" t="s">
        <v>7</v>
      </c>
      <c r="F24" t="s">
        <v>7</v>
      </c>
      <c r="G24" t="s">
        <v>7</v>
      </c>
      <c r="H24" t="s">
        <v>7</v>
      </c>
      <c r="I24" t="s">
        <v>7</v>
      </c>
      <c r="J24" t="s">
        <v>7</v>
      </c>
      <c r="K24" t="s">
        <v>7</v>
      </c>
      <c r="L24" s="2">
        <v>0.2913</v>
      </c>
      <c r="M24" s="2">
        <v>0.57950000000000002</v>
      </c>
    </row>
    <row r="25" spans="1:13" x14ac:dyDescent="0.2">
      <c r="A25">
        <v>20</v>
      </c>
      <c r="B25" s="2">
        <v>18.288</v>
      </c>
      <c r="C25" t="s">
        <v>7</v>
      </c>
      <c r="D25" t="s">
        <v>7</v>
      </c>
      <c r="E25" t="s">
        <v>7</v>
      </c>
      <c r="F25" t="s">
        <v>7</v>
      </c>
      <c r="G25" t="s">
        <v>7</v>
      </c>
      <c r="H25" t="s">
        <v>7</v>
      </c>
      <c r="I25" t="s">
        <v>7</v>
      </c>
      <c r="J25" t="s">
        <v>7</v>
      </c>
      <c r="K25" t="s">
        <v>7</v>
      </c>
      <c r="L25" t="s">
        <v>7</v>
      </c>
      <c r="M25" s="2">
        <v>7.3099999999999998E-2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
  <sheetViews>
    <sheetView workbookViewId="0">
      <pane ySplit="1" topLeftCell="A2" activePane="bottomLeft" state="frozen"/>
      <selection pane="bottomLeft"/>
    </sheetView>
  </sheetViews>
  <sheetFormatPr baseColWidth="10" defaultColWidth="8.83203125" defaultRowHeight="15" x14ac:dyDescent="0.2"/>
  <cols>
    <col min="1" max="1" width="34" customWidth="1"/>
    <col min="2" max="2" width="18" customWidth="1"/>
    <col min="3" max="3" width="8" customWidth="1"/>
    <col min="4" max="6" width="10" customWidth="1"/>
    <col min="7" max="7" width="12" customWidth="1"/>
    <col min="8" max="8" width="13" customWidth="1"/>
    <col min="9" max="9" width="20" customWidth="1"/>
    <col min="10" max="11" width="12" customWidth="1"/>
    <col min="12" max="13" width="20" customWidth="1"/>
    <col min="14" max="14" width="50" customWidth="1"/>
  </cols>
  <sheetData>
    <row r="1" spans="1:14" ht="32" x14ac:dyDescent="0.2">
      <c r="A1" s="1" t="s">
        <v>95</v>
      </c>
      <c r="B1" s="1" t="s">
        <v>406</v>
      </c>
      <c r="C1" s="1" t="s">
        <v>22</v>
      </c>
      <c r="D1" s="1" t="s">
        <v>111</v>
      </c>
      <c r="E1" s="1" t="s">
        <v>112</v>
      </c>
      <c r="F1" s="1" t="s">
        <v>113</v>
      </c>
      <c r="G1" s="1" t="s">
        <v>114</v>
      </c>
      <c r="H1" s="1" t="s">
        <v>407</v>
      </c>
      <c r="I1" s="1" t="s">
        <v>4</v>
      </c>
      <c r="J1" s="1" t="s">
        <v>408</v>
      </c>
      <c r="K1" s="1" t="s">
        <v>409</v>
      </c>
      <c r="L1" s="1" t="s">
        <v>115</v>
      </c>
      <c r="M1" s="1" t="s">
        <v>116</v>
      </c>
      <c r="N1" s="1"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Project</vt:lpstr>
      <vt:lpstr>Output</vt:lpstr>
      <vt:lpstr>Blocks</vt:lpstr>
      <vt:lpstr>Weight</vt:lpstr>
      <vt:lpstr>Hydrostatics</vt:lpstr>
      <vt:lpstr>GZ</vt:lpstr>
      <vt:lpstr>Resistance</vt:lpstr>
      <vt:lpstr>Seakeeping</vt:lpstr>
      <vt:lpstr>Structure</vt:lpstr>
      <vt:lpstr>Offsets</vt: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Patrick Grunklee</cp:lastModifiedBy>
  <dcterms:modified xsi:type="dcterms:W3CDTF">2026-10-30T00:09:01Z</dcterms:modified>
</cp:coreProperties>
</file>